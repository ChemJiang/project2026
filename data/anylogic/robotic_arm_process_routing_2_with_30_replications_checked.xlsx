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246adc5e2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5852762dd84f33"/>
    <x:sheet xmlns:r="http://schemas.openxmlformats.org/officeDocument/2006/relationships" name="Resource_Capacity" sheetId="2" r:id="R973c3525dccf4357"/>
    <x:sheet xmlns:r="http://schemas.openxmlformats.org/officeDocument/2006/relationships" name="AnyLogic_Setup" sheetId="3" r:id="R4b80ee9df76e42e1"/>
    <x:sheet xmlns:r="http://schemas.openxmlformats.org/officeDocument/2006/relationships" name="Scenario_Results" sheetId="4" r:id="R23c2f9e5a09946eb"/>
    <x:sheet xmlns:r="http://schemas.openxmlformats.org/officeDocument/2006/relationships" name="Repeated_Runs" sheetId="5" r:id="Rbbaca497b81a4e35"/>
    <x:sheet xmlns:r="http://schemas.openxmlformats.org/officeDocument/2006/relationships" name="Replication_Summary" sheetId="6" r:id="Rf94aab739a5e4fd8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<x:sst xmlns:x="http://schemas.openxmlformats.org/spreadsheetml/2006/main">
  <x:si>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</x:si>
  <x:si>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工序名称</x:t>
  </x:si>
  <x:si>
    <x:t xml:space="preserve">Name</x:t>
  </x:si>
  <x:si>
    <x:t xml:space="preserve">工序内容</x:t>
  </x:si>
  <x:si>
    <x:t xml:space="preserve">Min_Time_min</x:t>
  </x:si>
  <x:si>
    <x:t xml:space="preserve">Base_Time_min</x:t>
  </x:si>
  <x:si>
    <x:t xml:space="preserve">Max_Time_min</x:t>
  </x:si>
  <x:si>
    <x:t xml:space="preserve">AnyLogic_Distribution</x:t>
  </x:si>
  <x:si>
    <x:t xml:space="preserve">Worker_Pool</x:t>
  </x:si>
  <x:si>
    <x:t xml:space="preserve">Workers_Required</x:t>
  </x:si>
  <x:si>
    <x:t xml:space="preserve">Station_Pool</x:t>
  </x:si>
  <x:si>
    <x:t xml:space="preserve">Stations_Required</x:t>
  </x:si>
  <x:si>
    <x:t xml:space="preserve">Data_Basis</x:t>
  </x:si>
  <x:si>
    <x:t xml:space="preserve">Time Summary</x:t>
  </x:si>
  <x:si>
    <x:t xml:space="preserve">Value</x:t>
  </x:si>
  <x:si>
    <x:t xml:space="preserve">零件备料</x:t>
  </x:si>
  <x:si>
    <x:t xml:space="preserve"> Parts Kitting</x:t>
  </x:si>
  <x:si>
    <x:t xml:space="preserve">按BOM准备结构件、3个MG996R、SG90及紧固件</x:t>
  </x:si>
  <x:si>
    <x:t xml:space="preserve">triangular(6, 8, 12)</x:t>
  </x:si>
  <x:si>
    <x:t xml:space="preserve">KittingOperator</x:t>
  </x:si>
  <x:si>
    <x:t xml:space="preserve">KittingStation</x:t>
  </x:si>
  <x:si>
    <x:t xml:space="preserve">Engineering Estimate v1</x:t>
  </x:si>
  <x:si>
    <x:t xml:space="preserve">Total minimum time (min)</x:t>
  </x:si>
  <x:si>
    <x:t xml:space="preserve">机械结构预装</x:t>
  </x:si>
  <x:si>
    <x:t xml:space="preserve">Mechanical Pre-assembly</x:t>
  </x:si>
  <x:si>
    <x:t xml:space="preserve">安装底座、安装板、转轮，并预装机械臂和连杆</x:t>
  </x:si>
  <x:si>
    <x:t xml:space="preserve">triangular(15, 20, 28)</x:t>
  </x:si>
  <x:si>
    <x:t xml:space="preserve">AssemblyOperator</x:t>
  </x:si>
  <x:si>
    <x:t xml:space="preserve">MechanicalBench</x:t>
  </x:si>
  <x:si>
    <x:t xml:space="preserve">Total baseline time (min)</x:t>
  </x:si>
  <x:si>
    <x:t xml:space="preserve">舵机与关节装配</x:t>
  </x:si>
  <x:si>
    <x:t xml:space="preserve">Servo &amp; Joint Assembly</x:t>
  </x:si>
  <x:si>
    <x:t xml:space="preserve">安装3个MG996R及输出轴，完成各关节连接</x:t>
  </x:si>
  <x:si>
    <x:t xml:space="preserve">triangular(14, 18, 25)</x:t>
  </x:si>
  <x:si>
    <x:t xml:space="preserve">ServoBench</x:t>
  </x:si>
  <x:si>
    <x:t xml:space="preserve">Total maximum time (min)</x:t>
  </x:si>
  <x:si>
    <x:t xml:space="preserve">夹爪安装与标定</x:t>
  </x:si>
  <x:si>
    <x:t xml:space="preserve">Gripper Assembly &amp; Calibration</x:t>
  </x:si>
  <x:si>
    <x:t xml:space="preserve">安装SG90和夹爪，标定零位、开合角度及运动范围</x:t>
  </x:si>
  <x:si>
    <x:t xml:space="preserve">triangular(9, 12, 18)</x:t>
  </x:si>
  <x:si>
    <x:t xml:space="preserve">CalibrationBench</x:t>
  </x:si>
  <x:si>
    <x:t xml:space="preserve">整机功能测试</x:t>
  </x:si>
  <x:si>
    <x:t xml:space="preserve">Functional Testing</x:t>
  </x:si>
  <x:si>
    <x:t xml:space="preserve">测试底座旋转、各关节运动、夹爪开合和运动干涉</x:t>
  </x:si>
  <x:si>
    <x:t xml:space="preserve">triangular(7, 10, 16)</x:t>
  </x:si>
  <x:si>
    <x:t xml:space="preserve">TestTechnician</x:t>
  </x:si>
  <x:si>
    <x:t xml:space="preserve">TestBench</x:t>
  </x:si>
  <x:si>
    <x:t xml:space="preserve">最终检验</x:t>
  </x:si>
  <x:si>
    <x:t xml:space="preserve">Final Inspection</x:t>
  </x:si>
  <x:si>
    <x:t xml:space="preserve">检查外观与连接状态，确认测试记录并判定是否合格</x:t>
  </x:si>
  <x:si>
    <x:t xml:space="preserve">triangular(4, 5, 8)</x:t>
  </x:si>
  <x:si>
    <x:t xml:space="preserve">QualityInspector</x:t>
  </x:si>
  <x:si>
    <x:t xml:space="preserve">InspectionStation</x:t>
  </x:si>
  <x:si>
    <x:t xml:space="preserve">Resource_Pool</x:t>
  </x:si>
  <x:si>
    <x:t xml:space="preserve">Type</x:t>
  </x:si>
  <x:si>
    <x:t xml:space="preserve">Capacity</x:t>
  </x:si>
  <x:si>
    <x:t xml:space="preserve">Used_By_Operations</x:t>
  </x:si>
  <x:si>
    <x:t xml:space="preserve">Description</x:t>
  </x:si>
  <x:si>
    <x:t xml:space="preserve">Worker</x:t>
  </x:si>
  <x:si>
    <x:t xml:space="preserve">10</x:t>
  </x:si>
  <x:si>
    <x:t xml:space="preserve">Parts preparation and BOM checking</x:t>
  </x:si>
  <x:si>
    <x:t xml:space="preserve">20, 30, 40</x:t>
  </x:si>
  <x:si>
    <x:t xml:space="preserve">Shared mechanical, servo and gripper assembly operators</x:t>
  </x:si>
  <x:si>
    <x:t xml:space="preserve">50</x:t>
  </x:si>
  <x:si>
    <x:t xml:space="preserve">Functional testing operator</x:t>
  </x:si>
  <x:si>
    <x:t xml:space="preserve">60</x:t>
  </x:si>
  <x:si>
    <x:t xml:space="preserve">Final quality inspector</x:t>
  </x:si>
  <x:si>
    <x:t xml:space="preserve">Station</x:t>
  </x:si>
  <x:si>
    <x:t xml:space="preserve">Parts kitting area</x:t>
  </x:si>
  <x:si>
    <x:t xml:space="preserve">20</x:t>
  </x:si>
  <x:si>
    <x:t xml:space="preserve">Mechanical pre-assembly bench</x:t>
  </x:si>
  <x:si>
    <x:t xml:space="preserve">30</x:t>
  </x:si>
  <x:si>
    <x:t xml:space="preserve">Servo and joint assembly bench</x:t>
  </x:si>
  <x:si>
    <x:t xml:space="preserve">40</x:t>
  </x:si>
  <x:si>
    <x:t xml:space="preserve">Gripper calibration bench</x:t>
  </x:si>
  <x:si>
    <x:t xml:space="preserve">Functional test bench</x:t>
  </x:si>
  <x:si>
    <x:t xml:space="preserve">Final inspection station</x:t>
  </x:si>
  <x:si>
    <x:t xml:space="preserve">Item</x:t>
  </x:si>
  <x:si>
    <x:t xml:space="preserve">Configuration</x:t>
  </x:si>
  <x:si>
    <x:t xml:space="preserve">Model flow</x:t>
  </x:si>
  <x:si>
    <x:t xml:space="preserve">Source → Service_10 → Service_20 → Service_30 → Service_40 → Service_50 → Service_60 → Sink</x:t>
  </x:si>
  <x:si>
    <x:t xml:space="preserve">Time unit</x:t>
  </x:si>
  <x:si>
    <x:t xml:space="preserve">minute</x:t>
  </x:si>
  <x:si>
    <x:t xml:space="preserve">Delay time</x:t>
  </x:si>
  <x:si>
    <x:t xml:space="preserve">Use AnyLogic_Distribution from Sheet1</x:t>
  </x:si>
  <x:si>
    <x:t xml:space="preserve">Resource seize</x:t>
  </x:si>
  <x:si>
    <x:t xml:space="preserve">Each product seizes 1 worker and 1 station for the operation</x:t>
  </x:si>
  <x:si>
    <x:t xml:space="preserve">Resource capacity</x:t>
  </x:si>
  <x:si>
    <x:t xml:space="preserve">Create ResourcePool objects using the Resource_Capacity sheet</x:t>
  </x:si>
  <x:si>
    <x:t xml:space="preserve">Waiting time</x:t>
  </x:si>
  <x:si>
    <x:t xml:space="preserve">Do not add queue waiting to processing time; AnyLogic calculates it</x:t>
  </x:si>
  <x:si>
    <x:t xml:space="preserve">Data status</x:t>
  </x:si>
  <x:si>
    <x:t xml:space="preserve">Engineering Estimate v1 — replace with measured cycle times when available</x:t>
  </x:si>
</x:sst>
</file>

<file path=xl/styles.xml><?xml version="1.0" encoding="utf-8"?>
<x:styleSheet xmlns:x="http://schemas.openxmlformats.org/spreadsheetml/2006/main">
  <x:numFmts count="6">
    <x:numFmt numFmtId="200" formatCode="#,##0"/>
    <x:numFmt numFmtId="201" formatCode="0.00"/>
    <x:numFmt numFmtId="202" formatCode="0%"/>
    <x:numFmt numFmtId="203" formatCode="0"/>
    <x:numFmt numFmtId="204" formatCode="0.0%"/>
    <x:numFmt numFmtId="205" formatCode="0.000000"/>
  </x:numFmts>
  <x:fonts count="15">
    <x:font>
      <x:sz val="11"/>
      <x:color theme="1"/>
      <x:name val="等线"/>
    </x:font>
    <x:font>
      <x:b/>
      <x:sz val="11"/>
      <x:color rgb="FFFFFFFF"/>
      <x:name val="等线"/>
    </x:font>
    <x:font>
      <x:b/>
      <x:sz val="11"/>
      <x:color theme="1"/>
      <x:name val="等线"/>
    </x:font>
    <x:font>
      <x:b/>
      <x:sz val="11"/>
      <x:color rgb="FF1F2937"/>
      <x:name val="等线"/>
    </x:font>
    <x:font>
      <x:b/>
      <x:sz val="11"/>
      <x:color rgb="FFFFFFFF"/>
      <x:name val="等线"/>
    </x:font>
    <x:font>
      <x:sz val="9"/>
      <x:name val="宋体"/>
    </x:font>
    <x:font>
      <x:sz val="11"/>
      <x:color rgb="FF1F2937"/>
      <x:name val="等线"/>
    </x:font>
    <x:font>
      <x:b/>
      <x:sz val="11"/>
      <x:color rgb="FF7F6000"/>
      <x:name val="等线"/>
    </x:font>
    <x:font>
      <x:i/>
      <x:sz val="10"/>
      <x:color rgb="FF1F4E78"/>
      <x:name val="等线"/>
    </x:font>
    <x:font>
      <x:b/>
      <x:sz val="16"/>
      <x:color rgb="FFFFFFFF"/>
      <x:name val="Aptos Display"/>
    </x:font>
    <x:font>
      <x:i/>
      <x:sz val="10"/>
      <x:color rgb="FF334E68"/>
      <x:name val="等线"/>
    </x:font>
    <x:font>
      <x:i/>
      <x:sz val="9"/>
      <x:color rgb="FF666666"/>
      <x:name val="等线"/>
    </x:font>
    <x:font>
      <x:b/>
      <x:sz val="12"/>
      <x:color rgb="FFFFFFFF"/>
      <x:name val="等线"/>
    </x:font>
    <x:font>
      <x:sz val="10"/>
      <x:color rgb="FF203040"/>
      <x:name val="等线"/>
    </x:font>
    <x:font>
      <x:b/>
      <x:sz val="11"/>
      <x:color rgb="FF334E68"/>
      <x:name val="等线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7FBFD"/>
      </x:patternFill>
    </x:fill>
    <x:fill>
      <x:patternFill patternType="solid">
        <x:fgColor rgb="FF1F4E78"/>
      </x:patternFill>
    </x:fill>
    <x:fill>
      <x:patternFill patternType="solid">
        <x:fgColor rgb="FFF7FBFD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2" xfId="0" applyBorder="1" applyAlignment="1">
      <x:alignment vertical="center" wrapText="1"/>
    </x:xf>
    <x:xf numFmtId="1" fontId="0" fillId="0" borderId="2" xfId="0" applyNumberFormat="1" applyBorder="1" applyAlignment="1">
      <x:alignment vertical="center" wrapText="1"/>
    </x:xf>
    <x:xf numFmtId="0" fontId="1" fillId="2" borderId="3" xfId="0" applyFont="1" applyFill="1" applyBorder="1" applyAlignment="1">
      <x:alignment horizontal="center"/>
    </x:xf>
    <x:xf numFmtId="0" fontId="0" fillId="0" borderId="1" xfId="0" applyBorder="1"/>
    <x:xf numFmtId="1" fontId="0" fillId="0" borderId="1" xfId="0" applyNumberFormat="1" applyBorder="1"/>
    <x:xf numFmtId="0" fontId="1" fillId="2" borderId="3" xfId="0" applyFont="1" applyFill="1" applyBorder="1" applyAlignment="1">
      <x:alignment horizontal="center" vertical="center" wrapText="1"/>
    </x:xf>
    <x:xf numFmtId="0" fontId="0" fillId="0" borderId="4" xfId="0" applyBorder="1" applyAlignment="1">
      <x:alignment vertical="center" wrapText="1"/>
    </x:xf>
    <x:xf numFmtId="1" fontId="0" fillId="0" borderId="4" xfId="0" applyNumberFormat="1" applyBorder="1" applyAlignment="1">
      <x:alignment vertical="center" wrapText="1"/>
    </x:xf>
    <x:xf numFmtId="0" fontId="2" fillId="0" borderId="0" xfId="0" applyFont="1" applyFill="1" applyAlignment="1">
      <x:alignment horizontal="center" vertical="center"/>
    </x:xf>
    <x:xf numFmtId="0" fontId="3" fillId="0" borderId="1" xfId="0" applyFont="1" applyFill="1" applyBorder="1" applyAlignment="1">
      <x:alignment horizontal="center" vertical="center" wrapText="1"/>
    </x:xf>
    <x:xf numFmtId="0" fontId="4" fillId="0" borderId="3" xfId="0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3" xfId="0" applyNumberFormat="1" applyFont="1" applyFill="1" applyBorder="1"/>
    <x:xf numFmtId="0" fontId="1" fillId="3" borderId="3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horizontal="left" vertical="center"/>
    </x:xf>
    <x:xf numFmtId="0" fontId="6" fillId="0" borderId="4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horizontal="left" vertical="center" wrapText="1"/>
    </x:xf>
    <x:xf numFmtId="200" fontId="6" fillId="0" borderId="4" xfId="0" applyNumberFormat="1" applyFont="1" applyFill="1" applyBorder="1" applyAlignment="1">
      <x:alignment horizontal="center" vertical="center"/>
    </x:xf>
    <x:xf numFmtId="201" fontId="6" fillId="0" borderId="4" xfId="0" applyNumberFormat="1" applyFont="1" applyFill="1" applyBorder="1" applyAlignment="1">
      <x:alignment horizontal="center" vertical="center"/>
    </x:xf>
    <x:xf numFmtId="202" fontId="6" fillId="0" borderId="4" xfId="0" applyNumberFormat="1" applyFont="1" applyFill="1" applyBorder="1" applyAlignment="1">
      <x:alignment horizontal="center" vertical="center"/>
    </x:xf>
    <x:xf numFmtId="200" fontId="6" fillId="4" borderId="4" xfId="0" applyNumberFormat="1" applyFont="1" applyFill="1" applyBorder="1" applyAlignment="1">
      <x:alignment horizontal="center" vertical="center"/>
    </x:xf>
    <x:xf numFmtId="201" fontId="6" fillId="4" borderId="4" xfId="0" applyNumberFormat="1" applyFont="1" applyFill="1" applyBorder="1" applyAlignment="1">
      <x:alignment horizontal="center" vertical="center"/>
    </x:xf>
    <x:xf numFmtId="200" fontId="7" fillId="4" borderId="4" xfId="0" applyNumberFormat="1" applyFont="1" applyFill="1" applyBorder="1" applyAlignment="1">
      <x:alignment horizontal="center" vertical="center"/>
    </x:xf>
    <x:xf numFmtId="201" fontId="7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5" xfId="0" applyNumberFormat="1" applyFont="1" applyFill="1" applyBorder="1" applyAlignment="1">
      <x:alignment wrapText="1"/>
    </x:xf>
    <x:xf numFmtId="0" fontId="8" fillId="5" borderId="6" xfId="0" applyNumberFormat="1" applyFont="1" applyFill="1" applyBorder="1" applyAlignment="1">
      <x:alignment wrapText="1"/>
    </x:xf>
    <x:xf numFmtId="0" fontId="8" fillId="5" borderId="7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vertical="center" wrapText="1"/>
    </x:xf>
    <x:xf numFmtId="0" fontId="8" fillId="5" borderId="6" xfId="0" applyNumberFormat="1" applyFont="1" applyFill="1" applyBorder="1" applyAlignment="1">
      <x:alignment vertical="center" wrapText="1"/>
    </x:xf>
    <x:xf numFmtId="0" fontId="8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9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203" fontId="0" fillId="0" borderId="0" xfId="0" applyNumberFormat="1" applyFont="1" applyFill="1" applyBorder="1"/>
    <x:xf numFmtId="203" fontId="7" fillId="8" borderId="0" xfId="0" applyNumberFormat="1" applyFont="1" applyFill="1" applyBorder="1"/>
    <x:xf numFmtId="201" fontId="7" fillId="8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horizontal="center"/>
    </x:xf>
    <x:xf numFmtId="203" fontId="7" fillId="8" borderId="0" xfId="0" applyNumberFormat="1" applyFont="1" applyFill="1" applyBorder="1" applyAlignment="1">
      <x:alignment horizontal="center"/>
    </x:xf>
    <x:xf numFmtId="201" fontId="7" fillId="8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 vertical="center"/>
    </x:xf>
    <x:xf numFmtId="203" fontId="0" fillId="0" borderId="0" xfId="0" applyNumberFormat="1" applyFont="1" applyFill="1" applyBorder="1" applyAlignment="1">
      <x:alignment horizontal="center" vertical="center"/>
    </x:xf>
    <x:xf numFmtId="203" fontId="7" fillId="8" borderId="0" xfId="0" applyNumberFormat="1" applyFont="1" applyFill="1" applyBorder="1" applyAlignment="1">
      <x:alignment horizontal="center" vertical="center"/>
    </x:xf>
    <x:xf numFmtId="201" fontId="7" fillId="8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horizontal="left" vertical="center"/>
    </x:xf>
    <x:xf numFmtId="203" fontId="0" fillId="0" borderId="8" xfId="0" applyNumberFormat="1" applyFont="1" applyFill="1" applyBorder="1" applyAlignment="1">
      <x:alignment horizontal="center" vertical="center"/>
    </x:xf>
    <x:xf numFmtId="203" fontId="7" fillId="8" borderId="8" xfId="0" applyNumberFormat="1" applyFont="1" applyFill="1" applyBorder="1" applyAlignment="1">
      <x:alignment horizontal="center" vertical="center"/>
    </x:xf>
    <x:xf numFmtId="201" fontId="7" fillId="8" borderId="8" xfId="0" applyNumberFormat="1" applyFont="1" applyFill="1" applyBorder="1" applyAlignment="1">
      <x:alignment horizontal="center" vertical="center"/>
    </x:xf>
    <x:xf numFmtId="202" fontId="0" fillId="0" borderId="8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203" fontId="0" fillId="0" borderId="8" xfId="0" applyNumberFormat="1" applyFont="1" applyFill="1" applyBorder="1"/>
    <x:xf numFmtId="201" fontId="0" fillId="0" borderId="8" xfId="0" applyNumberFormat="1" applyFont="1" applyFill="1" applyBorder="1"/>
    <x:xf numFmtId="204" fontId="0" fillId="0" borderId="8" xfId="0" applyNumberFormat="1" applyFont="1" applyFill="1" applyBorder="1"/>
    <x:xf numFmtId="203" fontId="0" fillId="0" borderId="8" xfId="0" applyNumberFormat="1" applyFont="1" applyFill="1" applyBorder="1" applyAlignment="1">
      <x:alignment horizontal="center"/>
    </x:xf>
    <x:xf numFmtId="201" fontId="0" fillId="0" borderId="8" xfId="0" applyNumberFormat="1" applyFont="1" applyFill="1" applyBorder="1" applyAlignment="1">
      <x:alignment horizontal="center"/>
    </x:xf>
    <x:xf numFmtId="204" fontId="0" fillId="0" borderId="8" xfId="0" applyNumberFormat="1" applyFont="1" applyFill="1" applyBorder="1" applyAlignment="1">
      <x:alignment horizontal="center"/>
    </x:xf>
    <x:xf numFmtId="201" fontId="0" fillId="10" borderId="8" xfId="0" applyNumberFormat="1" applyFont="1" applyFill="1" applyBorder="1" applyAlignment="1">
      <x:alignment horizontal="center"/>
    </x:xf>
    <x:xf numFmtId="204" fontId="0" fillId="10" borderId="8" xfId="0" applyNumberFormat="1" applyFont="1" applyFill="1" applyBorder="1" applyAlignment="1">
      <x:alignment horizontal="center"/>
    </x:xf>
    <x:xf numFmtId="0" fontId="0" fillId="10" borderId="8" xfId="0" applyNumberFormat="1" applyFont="1" applyFill="1" applyBorder="1"/>
    <x:xf numFmtId="201" fontId="0" fillId="10" borderId="8" xfId="0" applyNumberFormat="1" applyFont="1" applyFill="1" applyBorder="1" applyAlignment="1">
      <x:alignment horizontal="center" vertical="center"/>
    </x:xf>
    <x:xf numFmtId="204" fontId="0" fillId="10" borderId="8" xfId="0" applyNumberFormat="1" applyFont="1" applyFill="1" applyBorder="1" applyAlignment="1">
      <x:alignment horizontal="center" vertical="center"/>
    </x:xf>
    <x:xf numFmtId="0" fontId="0" fillId="10" borderId="8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/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8" xfId="0" applyNumberFormat="1" applyFont="1" applyFill="1" applyBorder="1"/>
    <x:xf numFmtId="0" fontId="13" fillId="11" borderId="8" xfId="0" applyNumberFormat="1" applyFont="1" applyFill="1" applyBorder="1" applyAlignment="1">
      <x:alignment wrapText="1"/>
    </x:xf>
    <x:xf numFmtId="0" fontId="13" fillId="11" borderId="8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0" fillId="13" borderId="8" xfId="0" applyNumberFormat="1" applyFont="1" applyFill="1" applyBorder="1"/>
    <x:xf numFmtId="0" fontId="0" fillId="13" borderId="8" xfId="0" applyNumberFormat="1" applyFont="1" applyFill="1" applyBorder="1" applyAlignment="1">
      <x:alignment vertical="center"/>
    </x:xf>
    <x:xf numFmtId="0" fontId="14" fillId="13" borderId="8" xfId="0" applyNumberFormat="1" applyFont="1" applyFill="1" applyBorder="1" applyAlignment="1">
      <x:alignment vertical="center"/>
    </x:xf>
    <x:xf numFmtId="204" fontId="0" fillId="13" borderId="8" xfId="0" applyNumberFormat="1" applyFont="1" applyFill="1" applyBorder="1" applyAlignment="1">
      <x:alignment vertical="center"/>
    </x:xf>
    <x:xf numFmtId="205" fontId="0" fillId="13" borderId="8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bae16ea334d08" /><Relationship Type="http://schemas.openxmlformats.org/officeDocument/2006/relationships/theme" Target="/xl/theme/theme1.xml" Id="R03a9881f3b194509" /><Relationship Type="http://schemas.openxmlformats.org/officeDocument/2006/relationships/sharedStrings" Target="/xl/sharedStrings.xml" Id="Rcb099e81f6f24917" /><Relationship Type="http://schemas.openxmlformats.org/officeDocument/2006/relationships/worksheet" Target="/xl/worksheets/sheet1.xml" Id="Rf15852762dd84f33" /><Relationship Type="http://schemas.openxmlformats.org/officeDocument/2006/relationships/worksheet" Target="/xl/worksheets/sheet2.xml" Id="R973c3525dccf4357" /><Relationship Type="http://schemas.openxmlformats.org/officeDocument/2006/relationships/worksheet" Target="/xl/worksheets/sheet3.xml" Id="R4b80ee9df76e42e1" /><Relationship Type="http://schemas.openxmlformats.org/officeDocument/2006/relationships/worksheet" Target="/xl/worksheets/sheet4.xml" Id="R23c2f9e5a09946eb" /><Relationship Type="http://schemas.openxmlformats.org/officeDocument/2006/relationships/worksheet" Target="/xl/worksheets/sheet5.xml" Id="Rbbaca497b81a4e35" /><Relationship Type="http://schemas.openxmlformats.org/officeDocument/2006/relationships/worksheet" Target="/xl/worksheets/sheet6.xml" Id="Rf94aab739a5e4fd8" /></Relationships>
</file>

<file path=xl/tables/table1.xml><?xml version="1.0" encoding="utf-8"?>
<x:table xmlns:x="http://schemas.openxmlformats.org/spreadsheetml/2006/main" id="1" name="ResourceCapacityTable" displayName="ResourceCapacityTable" ref="A1:E11" totalsRowShown="0">
  <x:tableColumns count="5">
    <x:tableColumn id="1" name="Resource_Pool"/>
    <x:tableColumn id="2" name="Type"/>
    <x:tableColumn id="3" name="Capacity"/>
    <x:tableColumn id="4" name="Used_By_Operations"/>
    <x:tableColumn id="5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ResultsTable" displayName="ScenarioResultsTable" ref="A1:O4" headerRowCount="1" totalsRowCount="0" totalsRowShown="0">
  <x:autoFilter ref="A1:O4"/>
  <x:tableColumns count="15">
    <x:tableColumn id="1" name="Scenario_ID"/>
    <x:tableColumn id="2" name="Scenario_Name"/>
    <x:tableColumn id="3" name="Arrival_Interval_min"/>
    <x:tableColumn id="4" name="Assembly_Capacity"/>
    <x:tableColumn id="5" name="Planned_Orders"/>
    <x:tableColumn id="6" name="Input_Units"/>
    <x:tableColumn id="7" name="Completed_Units"/>
    <x:tableColumn id="8" name="End_WIP"/>
    <x:tableColumn id="9" name="Throughput_per_hour"/>
    <x:tableColumn id="10" name="Primary_Bottleneck"/>
    <x:tableColumn id="11" name="Bottleneck_Utilization"/>
    <x:tableColumn id="12" name="Random_Seed"/>
    <x:tableColumn id="13" name="Run_Length_min"/>
    <x:tableColumn id="14" name="Data_Status"/>
    <x:tableColumn id="15" name="Key_Find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eatedRunsTable" displayName="RepeatedRunsTable" ref="A4:Q34" headerRowCount="1" totalsRowCount="0" totalsRowShown="0">
  <x:autoFilter ref="A4:Q34"/>
  <x:tableColumns count="17">
    <x:tableColumn id="1" name="Run_ID"/>
    <x:tableColumn id="2" name="Scenario_ID"/>
    <x:tableColumn id="3" name="Scenario_Name"/>
    <x:tableColumn id="4" name="Seed"/>
    <x:tableColumn id="5" name="Arrival_Interval_min"/>
    <x:tableColumn id="6" name="Assembly_Capacity"/>
    <x:tableColumn id="7" name="Planned_Orders"/>
    <x:tableColumn id="8" name="Input_Units"/>
    <x:tableColumn id="9" name="Completed_Units"/>
    <x:tableColumn id="10" name="End_WIP"/>
    <x:tableColumn id="11" name="Throughput_per_hour"/>
    <x:tableColumn id="12" name="AssemblyOperator_Utilization"/>
    <x:tableColumn id="13" name="Primary_Bottleneck"/>
    <x:tableColumn id="14" name="Bottleneck_Utilization"/>
    <x:tableColumn id="15" name="Run_Length_min"/>
    <x:tableColumn id="16" name="Evidence_File"/>
    <x:tableColumn id="17" name="Data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licationSummaryTable" displayName="ReplicationSummaryTable" ref="A4:R7" headerRowCount="1" totalsRowCount="0" totalsRowShown="0">
  <x:tableColumns count="18">
    <x:tableColumn id="1" name="Scenario_ID"/>
    <x:tableColumn id="2" name="Scenario_Name"/>
    <x:tableColumn id="3" name="Replications"/>
    <x:tableColumn id="4" name="Mean_Completed"/>
    <x:tableColumn id="5" name="SD_Completed"/>
    <x:tableColumn id="6" name="95%CI_Completed"/>
    <x:tableColumn id="7" name="Mean_WIP"/>
    <x:tableColumn id="8" name="SD_WIP"/>
    <x:tableColumn id="9" name="95%CI_WIP"/>
    <x:tableColumn id="10" name="Mean_Throughput"/>
    <x:tableColumn id="11" name="SD_Throughput"/>
    <x:tableColumn id="12" name="95%CI_Throughput"/>
    <x:tableColumn id="13" name="Mean_Assembly_Util"/>
    <x:tableColumn id="14" name="SD_Assembly_Util"/>
    <x:tableColumn id="15" name="95%CI_Assembly_Util"/>
    <x:tableColumn id="16" name="Dominant_Bottleneck"/>
    <x:tableColumn id="17" name="Bottleneck_Frequency"/>
    <x:tableColumn id="18" name="Mean_Bottleneck_Ut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3fd066f6a34a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9564cd0e8b148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d977a9f7b914f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14bd2253c0a4c40" /></Relationships>
</file>

<file path=xl/worksheets/sheet1.xml><?xml version="1.0" encoding="utf-8"?>
<x:worksheet xmlns:x="http://schemas.openxmlformats.org/spreadsheetml/2006/main">
  <x:sheetFormatPr defaultColWidth="8.4140625" defaultRowHeight="14"/>
  <x:cols>
    <x:col min="1" max="1" width="8.4140625" style="1" customWidth="0"/>
    <x:col min="2" max="2" width="17" style="1" customWidth="1"/>
    <x:col min="3" max="3" width="29.75" style="1" customWidth="1"/>
    <x:col min="4" max="4" width="50.58203125" style="1" customWidth="1"/>
    <x:col min="5" max="7" width="15" customWidth="1"/>
    <x:col min="8" max="8" width="25" customWidth="1"/>
    <x:col min="9" max="9" width="22" customWidth="1"/>
    <x:col min="10" max="10" width="18" customWidth="1"/>
    <x:col min="11" max="11" width="22" customWidth="1"/>
    <x:col min="12" max="12" width="18" customWidth="1"/>
    <x:col min="13" max="13" width="24" customWidth="1"/>
    <x:col min="14" max="14" width="8.4140625" style="1" customWidth="0"/>
    <x:col min="15" max="15" width="28" customWidth="1"/>
    <x:col min="16" max="16" width="12" customWidth="1"/>
    <x:col min="17" max="16384" width="8.4140625" style="1" customWidth="0"/>
  </x:cols>
  <x:sheetData>
    <x:row r="1" s="10" customFormat="1" ht="21.399999618530273" customHeight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1" t="s">
        <x:v>8</x:v>
      </x:c>
      <x:c r="J1" s="11" t="s">
        <x:v>9</x:v>
      </x:c>
      <x:c r="K1" s="11" t="s">
        <x:v>10</x:v>
      </x:c>
      <x:c r="L1" s="11" t="s">
        <x:v>11</x:v>
      </x:c>
      <x:c r="M1" s="11" t="s">
        <x:v>12</x:v>
      </x:c>
      <x:c r="O1" s="12" t="s">
        <x:v>13</x:v>
      </x:c>
      <x:c r="P1" s="12" t="s">
        <x:v>14</x:v>
      </x:c>
    </x:row>
    <x:row r="2" ht="14" customHeight="1">
      <x:c r="A2" s="1">
        <x:v>10</x:v>
      </x:c>
      <x:c r="B2" s="1" t="s">
        <x:v>15</x:v>
      </x:c>
      <x:c r="C2" s="1" t="s">
        <x:v>16</x:v>
      </x:c>
      <x:c r="D2" s="1" t="s">
        <x:v>17</x:v>
      </x:c>
      <x:c r="E2" s="3">
        <x:v>6</x:v>
      </x:c>
      <x:c r="F2" s="3">
        <x:v>8</x:v>
      </x:c>
      <x:c r="G2" s="3">
        <x:v>12</x:v>
      </x:c>
      <x:c r="H2" s="2" t="s">
        <x:v>18</x:v>
      </x:c>
      <x:c r="I2" s="2" t="s">
        <x:v>19</x:v>
      </x:c>
      <x:c r="J2" s="3">
        <x:v>1</x:v>
      </x:c>
      <x:c r="K2" s="2" t="s">
        <x:v>20</x:v>
      </x:c>
      <x:c r="L2" s="3">
        <x:v>1</x:v>
      </x:c>
      <x:c r="M2" s="2" t="s">
        <x:v>21</x:v>
      </x:c>
      <x:c r="O2" s="5" t="s">
        <x:v>22</x:v>
      </x:c>
      <x:c r="P2" s="6" t="n">
        <x:f>SUM(E2:E7)</x:f>
        <x:v>55</x:v>
      </x:c>
    </x:row>
    <x:row r="3" ht="14" customHeight="1">
      <x:c r="A3" s="1">
        <x:v>20</x:v>
      </x:c>
      <x:c r="B3" s="1" t="s">
        <x:v>23</x:v>
      </x:c>
      <x:c r="C3" s="1" t="s">
        <x:v>24</x:v>
      </x:c>
      <x:c r="D3" s="1" t="s">
        <x:v>25</x:v>
      </x:c>
      <x:c r="E3" s="3">
        <x:v>15</x:v>
      </x:c>
      <x:c r="F3" s="3">
        <x:v>20</x:v>
      </x:c>
      <x:c r="G3" s="3">
        <x:v>28</x:v>
      </x:c>
      <x:c r="H3" s="2" t="s">
        <x:v>26</x:v>
      </x:c>
      <x:c r="I3" s="2" t="s">
        <x:v>27</x:v>
      </x:c>
      <x:c r="J3" s="3">
        <x:v>1</x:v>
      </x:c>
      <x:c r="K3" s="2" t="s">
        <x:v>28</x:v>
      </x:c>
      <x:c r="L3" s="3">
        <x:v>1</x:v>
      </x:c>
      <x:c r="M3" s="2" t="s">
        <x:v>21</x:v>
      </x:c>
      <x:c r="O3" s="5" t="s">
        <x:v>29</x:v>
      </x:c>
      <x:c r="P3" s="6" t="n">
        <x:f>SUM(F2:F7)</x:f>
        <x:v>73</x:v>
      </x:c>
    </x:row>
    <x:row r="4" ht="14" customHeight="1">
      <x:c r="A4" s="1">
        <x:v>30</x:v>
      </x:c>
      <x:c r="B4" s="1" t="s">
        <x:v>30</x:v>
      </x:c>
      <x:c r="C4" s="1" t="s">
        <x:v>31</x:v>
      </x:c>
      <x:c r="D4" s="1" t="s">
        <x:v>32</x:v>
      </x:c>
      <x:c r="E4" s="3">
        <x:v>14</x:v>
      </x:c>
      <x:c r="F4" s="3">
        <x:v>18</x:v>
      </x:c>
      <x:c r="G4" s="3">
        <x:v>25</x:v>
      </x:c>
      <x:c r="H4" s="2" t="s">
        <x:v>33</x:v>
      </x:c>
      <x:c r="I4" s="2" t="s">
        <x:v>27</x:v>
      </x:c>
      <x:c r="J4" s="3">
        <x:v>1</x:v>
      </x:c>
      <x:c r="K4" s="2" t="s">
        <x:v>34</x:v>
      </x:c>
      <x:c r="L4" s="3">
        <x:v>1</x:v>
      </x:c>
      <x:c r="M4" s="2" t="s">
        <x:v>21</x:v>
      </x:c>
      <x:c r="O4" s="5" t="s">
        <x:v>35</x:v>
      </x:c>
      <x:c r="P4" s="6" t="n">
        <x:f>SUM(G2:G7)</x:f>
        <x:v>107</x:v>
      </x:c>
    </x:row>
    <x:row r="5" ht="14" customHeight="1">
      <x:c r="A5" s="1">
        <x:v>40</x:v>
      </x:c>
      <x:c r="B5" s="1" t="s">
        <x:v>36</x:v>
      </x:c>
      <x:c r="C5" s="1" t="s">
        <x:v>37</x:v>
      </x:c>
      <x:c r="D5" s="1" t="s">
        <x:v>38</x:v>
      </x:c>
      <x:c r="E5" s="3">
        <x:v>9</x:v>
      </x:c>
      <x:c r="F5" s="3">
        <x:v>12</x:v>
      </x:c>
      <x:c r="G5" s="3">
        <x:v>18</x:v>
      </x:c>
      <x:c r="H5" s="2" t="s">
        <x:v>39</x:v>
      </x:c>
      <x:c r="I5" s="2" t="s">
        <x:v>27</x:v>
      </x:c>
      <x:c r="J5" s="3">
        <x:v>1</x:v>
      </x:c>
      <x:c r="K5" s="2" t="s">
        <x:v>40</x:v>
      </x:c>
      <x:c r="L5" s="3">
        <x:v>1</x:v>
      </x:c>
      <x:c r="M5" s="2" t="s">
        <x:v>21</x:v>
      </x:c>
    </x:row>
    <x:row r="6" ht="14" customHeight="1">
      <x:c r="A6" s="1">
        <x:v>50</x:v>
      </x:c>
      <x:c r="B6" s="1" t="s">
        <x:v>41</x:v>
      </x:c>
      <x:c r="C6" s="1" t="s">
        <x:v>42</x:v>
      </x:c>
      <x:c r="D6" s="1" t="s">
        <x:v>43</x:v>
      </x:c>
      <x:c r="E6" s="3">
        <x:v>7</x:v>
      </x:c>
      <x:c r="F6" s="3">
        <x:v>10</x:v>
      </x:c>
      <x:c r="G6" s="3">
        <x:v>16</x:v>
      </x:c>
      <x:c r="H6" s="2" t="s">
        <x:v>44</x:v>
      </x:c>
      <x:c r="I6" s="2" t="s">
        <x:v>45</x:v>
      </x:c>
      <x:c r="J6" s="3">
        <x:v>1</x:v>
      </x:c>
      <x:c r="K6" s="2" t="s">
        <x:v>46</x:v>
      </x:c>
      <x:c r="L6" s="3">
        <x:v>1</x:v>
      </x:c>
      <x:c r="M6" s="2" t="s">
        <x:v>21</x:v>
      </x:c>
    </x:row>
    <x:row r="7" ht="14" customHeight="1">
      <x:c r="A7" s="1">
        <x:v>60</x:v>
      </x:c>
      <x:c r="B7" s="1" t="s">
        <x:v>47</x:v>
      </x:c>
      <x:c r="C7" s="1" t="s">
        <x:v>48</x:v>
      </x:c>
      <x:c r="D7" s="1" t="s">
        <x:v>49</x:v>
      </x:c>
      <x:c r="E7" s="3">
        <x:v>4</x:v>
      </x:c>
      <x:c r="F7" s="3">
        <x:v>5</x:v>
      </x:c>
      <x:c r="G7" s="3">
        <x:v>8</x:v>
      </x:c>
      <x:c r="H7" s="2" t="s">
        <x:v>50</x:v>
      </x:c>
      <x:c r="I7" s="2" t="s">
        <x:v>51</x:v>
      </x:c>
      <x:c r="J7" s="3">
        <x:v>1</x:v>
      </x:c>
      <x:c r="K7" s="2" t="s">
        <x:v>52</x:v>
      </x:c>
      <x:c r="L7" s="3">
        <x:v>1</x:v>
      </x:c>
      <x:c r="M7" s="2" t="s">
        <x:v>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4" customWidth="1"/>
    <x:col min="2" max="2" width="13" customWidth="1"/>
    <x:col min="3" max="3" width="12" customWidth="1"/>
    <x:col min="4" max="4" width="22" customWidth="1"/>
    <x:col min="5" max="5" width="48" customWidth="1"/>
  </x:cols>
  <x:sheetData>
    <x:row r="1" ht="30" customHeight="1">
      <x:c r="A1" s="7" t="s">
        <x:v>53</x:v>
      </x:c>
      <x:c r="B1" s="7" t="s">
        <x:v>54</x:v>
      </x:c>
      <x:c r="C1" s="7" t="s">
        <x:v>55</x:v>
      </x:c>
      <x:c r="D1" s="7" t="s">
        <x:v>56</x:v>
      </x:c>
      <x:c r="E1" s="7" t="s">
        <x:v>57</x:v>
      </x:c>
    </x:row>
    <x:row r="2">
      <x:c r="A2" s="8" t="s">
        <x:v>19</x:v>
      </x:c>
      <x:c r="B2" s="8" t="s">
        <x:v>58</x:v>
      </x:c>
      <x:c r="C2" s="9">
        <x:v>1</x:v>
      </x:c>
      <x:c r="D2" s="8" t="s">
        <x:v>59</x:v>
      </x:c>
      <x:c r="E2" s="8" t="s">
        <x:v>60</x:v>
      </x:c>
    </x:row>
    <x:row r="3">
      <x:c r="A3" s="8" t="s">
        <x:v>27</x:v>
      </x:c>
      <x:c r="B3" s="8" t="s">
        <x:v>58</x:v>
      </x:c>
      <x:c r="C3" s="9">
        <x:v>2</x:v>
      </x:c>
      <x:c r="D3" s="8" t="s">
        <x:v>61</x:v>
      </x:c>
      <x:c r="E3" s="8" t="s">
        <x:v>62</x:v>
      </x:c>
    </x:row>
    <x:row r="4">
      <x:c r="A4" s="8" t="s">
        <x:v>45</x:v>
      </x:c>
      <x:c r="B4" s="8" t="s">
        <x:v>58</x:v>
      </x:c>
      <x:c r="C4" s="9">
        <x:v>1</x:v>
      </x:c>
      <x:c r="D4" s="8" t="s">
        <x:v>63</x:v>
      </x:c>
      <x:c r="E4" s="8" t="s">
        <x:v>64</x:v>
      </x:c>
    </x:row>
    <x:row r="5">
      <x:c r="A5" s="8" t="s">
        <x:v>51</x:v>
      </x:c>
      <x:c r="B5" s="8" t="s">
        <x:v>58</x:v>
      </x:c>
      <x:c r="C5" s="9">
        <x:v>1</x:v>
      </x:c>
      <x:c r="D5" s="8" t="s">
        <x:v>65</x:v>
      </x:c>
      <x:c r="E5" s="8" t="s">
        <x:v>66</x:v>
      </x:c>
    </x:row>
    <x:row r="6">
      <x:c r="A6" s="8" t="s">
        <x:v>20</x:v>
      </x:c>
      <x:c r="B6" s="8" t="s">
        <x:v>67</x:v>
      </x:c>
      <x:c r="C6" s="9">
        <x:v>1</x:v>
      </x:c>
      <x:c r="D6" s="8" t="s">
        <x:v>59</x:v>
      </x:c>
      <x:c r="E6" s="8" t="s">
        <x:v>68</x:v>
      </x:c>
    </x:row>
    <x:row r="7">
      <x:c r="A7" s="8" t="s">
        <x:v>28</x:v>
      </x:c>
      <x:c r="B7" s="8" t="s">
        <x:v>67</x:v>
      </x:c>
      <x:c r="C7" s="9">
        <x:v>1</x:v>
      </x:c>
      <x:c r="D7" s="8" t="s">
        <x:v>69</x:v>
      </x:c>
      <x:c r="E7" s="8" t="s">
        <x:v>70</x:v>
      </x:c>
    </x:row>
    <x:row r="8">
      <x:c r="A8" s="8" t="s">
        <x:v>34</x:v>
      </x:c>
      <x:c r="B8" s="8" t="s">
        <x:v>67</x:v>
      </x:c>
      <x:c r="C8" s="9">
        <x:v>1</x:v>
      </x:c>
      <x:c r="D8" s="8" t="s">
        <x:v>71</x:v>
      </x:c>
      <x:c r="E8" s="8" t="s">
        <x:v>72</x:v>
      </x:c>
    </x:row>
    <x:row r="9">
      <x:c r="A9" s="8" t="s">
        <x:v>40</x:v>
      </x:c>
      <x:c r="B9" s="8" t="s">
        <x:v>67</x:v>
      </x:c>
      <x:c r="C9" s="9">
        <x:v>1</x:v>
      </x:c>
      <x:c r="D9" s="8" t="s">
        <x:v>73</x:v>
      </x:c>
      <x:c r="E9" s="8" t="s">
        <x:v>74</x:v>
      </x:c>
    </x:row>
    <x:row r="10">
      <x:c r="A10" s="8" t="s">
        <x:v>46</x:v>
      </x:c>
      <x:c r="B10" s="8" t="s">
        <x:v>67</x:v>
      </x:c>
      <x:c r="C10" s="9">
        <x:v>1</x:v>
      </x:c>
      <x:c r="D10" s="8" t="s">
        <x:v>63</x:v>
      </x:c>
      <x:c r="E10" s="8" t="s">
        <x:v>75</x:v>
      </x:c>
    </x:row>
    <x:row r="11">
      <x:c r="A11" s="8" t="s">
        <x:v>52</x:v>
      </x:c>
      <x:c r="B11" s="8" t="s">
        <x:v>67</x:v>
      </x:c>
      <x:c r="C11" s="9">
        <x:v>1</x:v>
      </x:c>
      <x:c r="D11" s="8" t="s">
        <x:v>65</x:v>
      </x:c>
      <x:c r="E11" s="8" t="s">
        <x:v>76</x:v>
      </x:c>
    </x:row>
  </x:sheetData>
  <x:pageMargins left="0.7" right="0.7" top="0.75" bottom="0.75" header="0.3" footer="0.3"/>
  <x:tableParts count="1">
    <x:tablePart xmlns:r="http://schemas.openxmlformats.org/officeDocument/2006/relationships" r:id="R853fd066f6a34a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2" customWidth="1"/>
    <x:col min="2" max="2" width="95" customWidth="1"/>
  </x:cols>
  <x:sheetData>
    <x:row r="1">
      <x:c r="A1" s="4" t="s">
        <x:v>77</x:v>
      </x:c>
      <x:c r="B1" s="4" t="s">
        <x:v>78</x:v>
      </x:c>
    </x:row>
    <x:row r="2" ht="28" customHeight="1">
      <x:c r="A2" s="8" t="s">
        <x:v>79</x:v>
      </x:c>
      <x:c r="B2" s="8" t="s">
        <x:v>80</x:v>
      </x:c>
    </x:row>
    <x:row r="3" ht="28" customHeight="1">
      <x:c r="A3" s="8" t="s">
        <x:v>81</x:v>
      </x:c>
      <x:c r="B3" s="8" t="s">
        <x:v>82</x:v>
      </x:c>
    </x:row>
    <x:row r="4" ht="28" customHeight="1">
      <x:c r="A4" s="8" t="s">
        <x:v>83</x:v>
      </x:c>
      <x:c r="B4" s="8" t="s">
        <x:v>84</x:v>
      </x:c>
    </x:row>
    <x:row r="5" ht="28" customHeight="1">
      <x:c r="A5" s="8" t="s">
        <x:v>85</x:v>
      </x:c>
      <x:c r="B5" s="8" t="s">
        <x:v>86</x:v>
      </x:c>
    </x:row>
    <x:row r="6" ht="28" customHeight="1">
      <x:c r="A6" s="8" t="s">
        <x:v>87</x:v>
      </x:c>
      <x:c r="B6" s="8" t="s">
        <x:v>88</x:v>
      </x:c>
    </x:row>
    <x:row r="7" ht="28" customHeight="1">
      <x:c r="A7" s="8" t="s">
        <x:v>89</x:v>
      </x:c>
      <x:c r="B7" s="8" t="s">
        <x:v>90</x:v>
      </x:c>
    </x:row>
    <x:row r="8" ht="28" customHeight="1">
      <x:c r="A8" s="8" t="s">
        <x:v>91</x:v>
      </x:c>
      <x:c r="B8" s="8" t="s">
        <x:v>92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9" hidden="0" customWidth="1"/>
    <x:col min="4" max="4" width="18" hidden="0" customWidth="1"/>
    <x:col min="5" max="5" width="16" hidden="0" customWidth="1"/>
    <x:col min="6" max="6" width="14" hidden="0" customWidth="1"/>
    <x:col min="7" max="7" width="17" hidden="0" customWidth="1"/>
    <x:col min="8" max="8" width="12" hidden="0" customWidth="1"/>
    <x:col min="9" max="9" width="20" hidden="0" customWidth="1"/>
    <x:col min="10" max="10" width="23" hidden="0" customWidth="1"/>
    <x:col min="11" max="11" width="22" hidden="0" customWidth="1"/>
    <x:col min="12" max="12" width="12" hidden="0" customWidth="1"/>
    <x:col min="13" max="13" width="17" hidden="0" customWidth="1"/>
    <x:col min="14" max="14" width="31" hidden="0" customWidth="1"/>
    <x:col min="15" max="15" width="48" hidden="0" customWidth="1"/>
  </x:cols>
  <x:sheetData>
    <x:row r="1" ht="34" customHeight="1">
      <x:c r="A1" s="18" t="str">
        <x:v>Scenario_ID</x:v>
      </x:c>
      <x:c r="B1" s="18" t="str">
        <x:v>Scenario_Name</x:v>
      </x:c>
      <x:c r="C1" s="18" t="str">
        <x:v>Arrival_Interval_min</x:v>
      </x:c>
      <x:c r="D1" s="18" t="str">
        <x:v>Assembly_Capacity</x:v>
      </x:c>
      <x:c r="E1" s="18" t="str">
        <x:v>Planned_Orders</x:v>
      </x:c>
      <x:c r="F1" s="18" t="str">
        <x:v>Input_Units</x:v>
      </x:c>
      <x:c r="G1" s="18" t="str">
        <x:v>Completed_Units</x:v>
      </x:c>
      <x:c r="H1" s="18" t="str">
        <x:v>End_WIP</x:v>
      </x:c>
      <x:c r="I1" s="18" t="str">
        <x:v>Throughput_per_hour</x:v>
      </x:c>
      <x:c r="J1" s="18" t="str">
        <x:v>Primary_Bottleneck</x:v>
      </x:c>
      <x:c r="K1" s="18" t="str">
        <x:v>Bottleneck_Utilization</x:v>
      </x:c>
      <x:c r="L1" s="18" t="str">
        <x:v>Random_Seed</x:v>
      </x:c>
      <x:c r="M1" s="18" t="str">
        <x:v>Run_Length_min</x:v>
      </x:c>
      <x:c r="N1" s="18" t="str">
        <x:v>Data_Status</x:v>
      </x:c>
      <x:c r="O1" s="18" t="str">
        <x:v>Key_Finding</x:v>
      </x:c>
    </x:row>
    <x:row r="2" ht="44" customHeight="1">
      <x:c r="A2" s="22" t="str">
        <x:v>S0</x:v>
      </x:c>
      <x:c r="B2" s="22" t="str">
        <x:v>Baseline_8h</x:v>
      </x:c>
      <x:c r="C2" s="26" t="n">
        <x:v>30</x:v>
      </x:c>
      <x:c r="D2" s="26" t="n">
        <x:v>2</x:v>
      </x:c>
      <x:c r="E2" s="26" t="n">
        <x:v>16</x:v>
      </x:c>
      <x:c r="F2" s="26" t="n">
        <x:v>16</x:v>
      </x:c>
      <x:c r="G2" s="26" t="n">
        <x:v>14</x:v>
      </x:c>
      <x:c r="H2" s="31" t="n">
        <x:f>F2-G2</x:f>
        <x:v>2</x:v>
      </x:c>
      <x:c r="I2" s="32" t="n">
        <x:f>G2/(M2/60)</x:f>
        <x:v>1.75</x:v>
      </x:c>
      <x:c r="J2" s="22" t="str">
        <x:v>AssemblyOperator</x:v>
      </x:c>
      <x:c r="K2" s="28" t="n">
        <x:v>0.87</x:v>
      </x:c>
      <x:c r="L2" s="26" t="n">
        <x:v>1</x:v>
      </x:c>
      <x:c r="M2" s="26" t="n">
        <x:v>480</x:v>
      </x:c>
      <x:c r="N2" s="25" t="str">
        <x:v>Engineering Estimate v1 / Controlled Scenario Run</x:v>
      </x:c>
      <x:c r="O2" s="25" t="str">
        <x:v>Stable baseline with limited end-of-shift WIP.</x:v>
      </x:c>
    </x:row>
    <x:row r="3" ht="44" customHeight="1">
      <x:c r="A3" s="22" t="str">
        <x:v>S1</x:v>
      </x:c>
      <x:c r="B3" s="22" t="str">
        <x:v>HighDemand_8h</x:v>
      </x:c>
      <x:c r="C3" s="26" t="n">
        <x:v>20</x:v>
      </x:c>
      <x:c r="D3" s="26" t="n">
        <x:v>2</x:v>
      </x:c>
      <x:c r="E3" s="26" t="n">
        <x:v>24</x:v>
      </x:c>
      <x:c r="F3" s="26" t="n">
        <x:v>24</x:v>
      </x:c>
      <x:c r="G3" s="26" t="n">
        <x:v>13</x:v>
      </x:c>
      <x:c r="H3" s="31" t="n">
        <x:f>F3-G3</x:f>
        <x:v>11</x:v>
      </x:c>
      <x:c r="I3" s="32" t="n">
        <x:f>G3/(M3/60)</x:f>
        <x:v>1.625</x:v>
      </x:c>
      <x:c r="J3" s="22" t="str">
        <x:v>AssemblyOperator</x:v>
      </x:c>
      <x:c r="K3" s="28" t="n">
        <x:v>0.94</x:v>
      </x:c>
      <x:c r="L3" s="26" t="n">
        <x:v>1</x:v>
      </x:c>
      <x:c r="M3" s="26" t="n">
        <x:v>480</x:v>
      </x:c>
      <x:c r="N3" s="25" t="str">
        <x:v>Engineering Estimate v1 / Controlled Scenario Run</x:v>
      </x:c>
      <x:c r="O3" s="25" t="str">
        <x:v>Demand increase causes WIP accumulation without output growth.</x:v>
      </x:c>
    </x:row>
    <x:row r="4" ht="44" customHeight="1">
      <x:c r="A4" s="22" t="str">
        <x:v>S2</x:v>
      </x:c>
      <x:c r="B4" s="22" t="str">
        <x:v>HighDemand_3Operators</x:v>
      </x:c>
      <x:c r="C4" s="26" t="n">
        <x:v>20</x:v>
      </x:c>
      <x:c r="D4" s="26" t="n">
        <x:v>3</x:v>
      </x:c>
      <x:c r="E4" s="26" t="n">
        <x:v>24</x:v>
      </x:c>
      <x:c r="F4" s="26" t="n">
        <x:v>24</x:v>
      </x:c>
      <x:c r="G4" s="26" t="n">
        <x:v>19</x:v>
      </x:c>
      <x:c r="H4" s="31" t="n">
        <x:f>F4-G4</x:f>
        <x:v>5</x:v>
      </x:c>
      <x:c r="I4" s="32" t="n">
        <x:f>G4/(M4/60)</x:f>
        <x:v>2.375</x:v>
      </x:c>
      <x:c r="J4" s="22" t="str">
        <x:v>MechanicalBench</x:v>
      </x:c>
      <x:c r="K4" s="28" t="n">
        <x:v>0.98</x:v>
      </x:c>
      <x:c r="L4" s="26" t="n">
        <x:v>1</x:v>
      </x:c>
      <x:c r="M4" s="26" t="n">
        <x:v>480</x:v>
      </x:c>
      <x:c r="N4" s="25" t="str">
        <x:v>Engineering Estimate v1 / Controlled Scenario Run</x:v>
      </x:c>
      <x:c r="O4" s="25" t="str">
        <x:v>Third operator improves output and shifts bottleneck to MechanicalBench.</x:v>
      </x:c>
    </x:row>
    <x:row r="6" ht="34" customHeight="1">
      <x:c r="A6" s="41" t="str">
        <x:v>Note: Bottleneck utilization is read from the lower resource-pool icon. Processing times and scenario inputs remain Engineering Estimate v1 values.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3"/>
    </x:row>
  </x:sheetData>
  <x:mergeCells>
    <x:mergeCell ref="A6:O6"/>
  </x:mergeCells>
  <x:pageMargins left="0.7" right="0.7" top="0.75" bottom="0.75" header="0.3" footer="0.3"/>
  <x:tableParts count="1">
    <x:tablePart xmlns:r="http://schemas.openxmlformats.org/officeDocument/2006/relationships" r:id="Rb9564cd0e8b148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8" hidden="0" customWidth="1"/>
    <x:col min="3" max="3" width="19.440000534057617" hidden="0" customWidth="1"/>
    <x:col min="4" max="4" width="6.110000133514404" hidden="0" customWidth="1"/>
    <x:col min="5" max="5" width="13.890000343322754" hidden="0" customWidth="1"/>
    <x:col min="6" max="6" width="13.109999656677246" hidden="0" customWidth="1"/>
    <x:col min="7" max="7" width="11.109999656677246" hidden="0" customWidth="1"/>
    <x:col min="8" max="8" width="9.109999656677246" hidden="0" customWidth="1"/>
    <x:col min="9" max="9" width="10.890000343322754" hidden="0" customWidth="1"/>
    <x:col min="10" max="10" width="8.670000076293945" hidden="0" customWidth="1"/>
    <x:col min="11" max="11" width="14.220000267028809" hidden="0" customWidth="1"/>
    <x:col min="12" max="12" width="19.440000534057617" hidden="0" customWidth="1"/>
    <x:col min="13" max="13" width="15" hidden="0" customWidth="1"/>
    <x:col min="14" max="14" width="16.110000610351562" hidden="0" customWidth="1"/>
    <x:col min="15" max="15" width="11.670000076293945" hidden="0" customWidth="1"/>
    <x:col min="16" max="16" width="27.219999313354492" hidden="0" customWidth="1"/>
    <x:col min="17" max="17" width="16.670000076293945" hidden="0" customWidth="1"/>
  </x:cols>
  <x:sheetData>
    <x:row r="1" ht="25.5" customHeight="1">
      <x:c r="A1" s="47" t="str">
        <x:v>AnyLogic Repeated Experiments — 30 Controlled Runs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</x:row>
    <x:row r="2" ht="22.5" customHeight="1">
      <x:c r="A2" s="50" t="str">
        <x:v>Three scenarios × random seeds 1–10. All 30 finished-run screenshots were rechecked; scenario parameters remain unchanged.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</x:row>
    <x:row r="4" ht="25.5" customHeight="1">
      <x:c r="A4" s="71" t="str">
        <x:v>Run_ID</x:v>
      </x:c>
      <x:c r="B4" s="71" t="str">
        <x:v>Scenario_ID</x:v>
      </x:c>
      <x:c r="C4" s="71" t="str">
        <x:v>Scenario_Name</x:v>
      </x:c>
      <x:c r="D4" s="71" t="str">
        <x:v>Seed</x:v>
      </x:c>
      <x:c r="E4" s="71" t="str">
        <x:v>Arrival_Interval_min</x:v>
      </x:c>
      <x:c r="F4" s="71" t="str">
        <x:v>Assembly_Capacity</x:v>
      </x:c>
      <x:c r="G4" s="71" t="str">
        <x:v>Planned_Orders</x:v>
      </x:c>
      <x:c r="H4" s="71" t="str">
        <x:v>Input_Units</x:v>
      </x:c>
      <x:c r="I4" s="71" t="str">
        <x:v>Completed_Units</x:v>
      </x:c>
      <x:c r="J4" s="71" t="str">
        <x:v>End_WIP</x:v>
      </x:c>
      <x:c r="K4" s="71" t="str">
        <x:v>Throughput_per_hour</x:v>
      </x:c>
      <x:c r="L4" s="71" t="str">
        <x:v>AssemblyOperator_Utilization</x:v>
      </x:c>
      <x:c r="M4" s="71" t="str">
        <x:v>Primary_Bottleneck</x:v>
      </x:c>
      <x:c r="N4" s="71" t="str">
        <x:v>Bottleneck_Utilization</x:v>
      </x:c>
      <x:c r="O4" s="71" t="str">
        <x:v>Run_Length_min</x:v>
      </x:c>
      <x:c r="P4" s="71" t="str">
        <x:v>Evidence_File</x:v>
      </x:c>
      <x:c r="Q4" s="71" t="str">
        <x:v>Data_Status</x:v>
      </x:c>
    </x:row>
    <x:row r="5" ht="24" customHeight="1">
      <x:c r="A5" s="72" t="str">
        <x:v>S0-R01</x:v>
      </x:c>
      <x:c r="B5" s="72" t="str">
        <x:v>S0</x:v>
      </x:c>
      <x:c r="C5" s="73" t="str">
        <x:v>Baseline_8h</x:v>
      </x:c>
      <x:c r="D5" s="74" t="n">
        <x:v>1</x:v>
      </x:c>
      <x:c r="E5" s="74" t="n">
        <x:v>30</x:v>
      </x:c>
      <x:c r="F5" s="74" t="n">
        <x:v>2</x:v>
      </x:c>
      <x:c r="G5" s="74" t="n">
        <x:v>16</x:v>
      </x:c>
      <x:c r="H5" s="74" t="n">
        <x:v>16</x:v>
      </x:c>
      <x:c r="I5" s="74" t="n">
        <x:v>14</x:v>
      </x:c>
      <x:c r="J5" s="75" t="n">
        <x:f>H5-I5</x:f>
        <x:v>2</x:v>
      </x:c>
      <x:c r="K5" s="76" t="n">
        <x:f>I5/(O5/60)</x:f>
        <x:v>1.75</x:v>
      </x:c>
      <x:c r="L5" s="77" t="n">
        <x:v>0.88</x:v>
      </x:c>
      <x:c r="M5" s="73" t="str">
        <x:v>AssemblyOperator</x:v>
      </x:c>
      <x:c r="N5" s="77" t="n">
        <x:v>0.87</x:v>
      </x:c>
      <x:c r="O5" s="74" t="n">
        <x:v>480</x:v>
      </x:c>
      <x:c r="P5" s="71" t="str">
        <x:v>Baseline_8h_Seed01.png</x:v>
      </x:c>
      <x:c r="Q5" s="71" t="str">
        <x:v>Verified against finished-run screenshot</x:v>
      </x:c>
    </x:row>
    <x:row r="6" ht="24" customHeight="1">
      <x:c r="A6" s="72" t="str">
        <x:v>S0-R02</x:v>
      </x:c>
      <x:c r="B6" s="72" t="str">
        <x:v>S0</x:v>
      </x:c>
      <x:c r="C6" s="73" t="str">
        <x:v>Baseline_8h</x:v>
      </x:c>
      <x:c r="D6" s="74" t="n">
        <x:v>2</x:v>
      </x:c>
      <x:c r="E6" s="74" t="n">
        <x:v>30</x:v>
      </x:c>
      <x:c r="F6" s="74" t="n">
        <x:v>2</x:v>
      </x:c>
      <x:c r="G6" s="74" t="n">
        <x:v>16</x:v>
      </x:c>
      <x:c r="H6" s="74" t="n">
        <x:v>16</x:v>
      </x:c>
      <x:c r="I6" s="74" t="n">
        <x:v>14</x:v>
      </x:c>
      <x:c r="J6" s="75" t="n">
        <x:f>H6-I6</x:f>
        <x:v>2</x:v>
      </x:c>
      <x:c r="K6" s="76" t="n">
        <x:f>I6/(O6/60)</x:f>
        <x:v>1.75</x:v>
      </x:c>
      <x:c r="L6" s="77" t="n">
        <x:v>0.85</x:v>
      </x:c>
      <x:c r="M6" s="73" t="str">
        <x:v>AssemblyOperator</x:v>
      </x:c>
      <x:c r="N6" s="77" t="n">
        <x:v>0.84</x:v>
      </x:c>
      <x:c r="O6" s="74" t="n">
        <x:v>480</x:v>
      </x:c>
      <x:c r="P6" s="71" t="str">
        <x:v>Baseline_8h_Seed02.png</x:v>
      </x:c>
      <x:c r="Q6" s="71" t="str">
        <x:v>Verified against finished-run screenshot</x:v>
      </x:c>
    </x:row>
    <x:row r="7" ht="24" customHeight="1">
      <x:c r="A7" s="72" t="str">
        <x:v>S0-R03</x:v>
      </x:c>
      <x:c r="B7" s="72" t="str">
        <x:v>S0</x:v>
      </x:c>
      <x:c r="C7" s="73" t="str">
        <x:v>Baseline_8h</x:v>
      </x:c>
      <x:c r="D7" s="74" t="n">
        <x:v>3</x:v>
      </x:c>
      <x:c r="E7" s="74" t="n">
        <x:v>30</x:v>
      </x:c>
      <x:c r="F7" s="74" t="n">
        <x:v>2</x:v>
      </x:c>
      <x:c r="G7" s="74" t="n">
        <x:v>16</x:v>
      </x:c>
      <x:c r="H7" s="74" t="n">
        <x:v>16</x:v>
      </x:c>
      <x:c r="I7" s="74" t="n">
        <x:v>14</x:v>
      </x:c>
      <x:c r="J7" s="75" t="n">
        <x:f>H7-I7</x:f>
        <x:v>2</x:v>
      </x:c>
      <x:c r="K7" s="76" t="n">
        <x:f>I7/(O7/60)</x:f>
        <x:v>1.75</x:v>
      </x:c>
      <x:c r="L7" s="77" t="n">
        <x:v>0.82</x:v>
      </x:c>
      <x:c r="M7" s="73" t="str">
        <x:v>AssemblyOperator</x:v>
      </x:c>
      <x:c r="N7" s="77" t="n">
        <x:v>0.82</x:v>
      </x:c>
      <x:c r="O7" s="74" t="n">
        <x:v>480</x:v>
      </x:c>
      <x:c r="P7" s="71" t="str">
        <x:v>Baseline_8h_Seed03.png</x:v>
      </x:c>
      <x:c r="Q7" s="71" t="str">
        <x:v>Verified against finished-run screenshot</x:v>
      </x:c>
    </x:row>
    <x:row r="8" ht="24" customHeight="1">
      <x:c r="A8" s="72" t="str">
        <x:v>S0-R04</x:v>
      </x:c>
      <x:c r="B8" s="72" t="str">
        <x:v>S0</x:v>
      </x:c>
      <x:c r="C8" s="73" t="str">
        <x:v>Baseline_8h</x:v>
      </x:c>
      <x:c r="D8" s="74" t="n">
        <x:v>4</x:v>
      </x:c>
      <x:c r="E8" s="74" t="n">
        <x:v>30</x:v>
      </x:c>
      <x:c r="F8" s="74" t="n">
        <x:v>2</x:v>
      </x:c>
      <x:c r="G8" s="74" t="n">
        <x:v>16</x:v>
      </x:c>
      <x:c r="H8" s="74" t="n">
        <x:v>16</x:v>
      </x:c>
      <x:c r="I8" s="74" t="n">
        <x:v>14</x:v>
      </x:c>
      <x:c r="J8" s="75" t="n">
        <x:f>H8-I8</x:f>
        <x:v>2</x:v>
      </x:c>
      <x:c r="K8" s="76" t="n">
        <x:f>I8/(O8/60)</x:f>
        <x:v>1.75</x:v>
      </x:c>
      <x:c r="L8" s="77" t="n">
        <x:v>0.84</x:v>
      </x:c>
      <x:c r="M8" s="73" t="str">
        <x:v>AssemblyOperator</x:v>
      </x:c>
      <x:c r="N8" s="77" t="n">
        <x:v>0.83</x:v>
      </x:c>
      <x:c r="O8" s="74" t="n">
        <x:v>480</x:v>
      </x:c>
      <x:c r="P8" s="71" t="str">
        <x:v>Baseline_8h_Seed04.png</x:v>
      </x:c>
      <x:c r="Q8" s="71" t="str">
        <x:v>Verified against finished-run screenshot</x:v>
      </x:c>
    </x:row>
    <x:row r="9" ht="24" customHeight="1">
      <x:c r="A9" s="72" t="str">
        <x:v>S0-R05</x:v>
      </x:c>
      <x:c r="B9" s="72" t="str">
        <x:v>S0</x:v>
      </x:c>
      <x:c r="C9" s="73" t="str">
        <x:v>Baseline_8h</x:v>
      </x:c>
      <x:c r="D9" s="74" t="n">
        <x:v>5</x:v>
      </x:c>
      <x:c r="E9" s="74" t="n">
        <x:v>30</x:v>
      </x:c>
      <x:c r="F9" s="74" t="n">
        <x:v>2</x:v>
      </x:c>
      <x:c r="G9" s="74" t="n">
        <x:v>16</x:v>
      </x:c>
      <x:c r="H9" s="74" t="n">
        <x:v>16</x:v>
      </x:c>
      <x:c r="I9" s="74" t="n">
        <x:v>14</x:v>
      </x:c>
      <x:c r="J9" s="75" t="n">
        <x:f>H9-I9</x:f>
        <x:v>2</x:v>
      </x:c>
      <x:c r="K9" s="76" t="n">
        <x:f>I9/(O9/60)</x:f>
        <x:v>1.75</x:v>
      </x:c>
      <x:c r="L9" s="77" t="n">
        <x:v>0.84</x:v>
      </x:c>
      <x:c r="M9" s="73" t="str">
        <x:v>AssemblyOperator</x:v>
      </x:c>
      <x:c r="N9" s="77" t="n">
        <x:v>0.83</x:v>
      </x:c>
      <x:c r="O9" s="74" t="n">
        <x:v>480</x:v>
      </x:c>
      <x:c r="P9" s="71" t="str">
        <x:v>Baseline_8h_Seed05.png</x:v>
      </x:c>
      <x:c r="Q9" s="71" t="str">
        <x:v>Verified against finished-run screenshot</x:v>
      </x:c>
    </x:row>
    <x:row r="10" ht="24" customHeight="1">
      <x:c r="A10" s="72" t="str">
        <x:v>S0-R06</x:v>
      </x:c>
      <x:c r="B10" s="72" t="str">
        <x:v>S0</x:v>
      </x:c>
      <x:c r="C10" s="73" t="str">
        <x:v>Baseline_8h</x:v>
      </x:c>
      <x:c r="D10" s="74" t="n">
        <x:v>6</x:v>
      </x:c>
      <x:c r="E10" s="74" t="n">
        <x:v>30</x:v>
      </x:c>
      <x:c r="F10" s="74" t="n">
        <x:v>2</x:v>
      </x:c>
      <x:c r="G10" s="74" t="n">
        <x:v>16</x:v>
      </x:c>
      <x:c r="H10" s="74" t="n">
        <x:v>16</x:v>
      </x:c>
      <x:c r="I10" s="74" t="n">
        <x:v>14</x:v>
      </x:c>
      <x:c r="J10" s="75" t="n">
        <x:f>H10-I10</x:f>
        <x:v>2</x:v>
      </x:c>
      <x:c r="K10" s="76" t="n">
        <x:f>I10/(O10/60)</x:f>
        <x:v>1.75</x:v>
      </x:c>
      <x:c r="L10" s="77" t="n">
        <x:v>0.84</x:v>
      </x:c>
      <x:c r="M10" s="73" t="str">
        <x:v>AssemblyOperator</x:v>
      </x:c>
      <x:c r="N10" s="77" t="n">
        <x:v>0.84</x:v>
      </x:c>
      <x:c r="O10" s="74" t="n">
        <x:v>480</x:v>
      </x:c>
      <x:c r="P10" s="71" t="str">
        <x:v>Baseline_8h_Seed06.png</x:v>
      </x:c>
      <x:c r="Q10" s="71" t="str">
        <x:v>Verified against finished-run screenshot</x:v>
      </x:c>
    </x:row>
    <x:row r="11" ht="24" customHeight="1">
      <x:c r="A11" s="72" t="str">
        <x:v>S0-R07</x:v>
      </x:c>
      <x:c r="B11" s="72" t="str">
        <x:v>S0</x:v>
      </x:c>
      <x:c r="C11" s="73" t="str">
        <x:v>Baseline_8h</x:v>
      </x:c>
      <x:c r="D11" s="74" t="n">
        <x:v>7</x:v>
      </x:c>
      <x:c r="E11" s="74" t="n">
        <x:v>30</x:v>
      </x:c>
      <x:c r="F11" s="74" t="n">
        <x:v>2</x:v>
      </x:c>
      <x:c r="G11" s="74" t="n">
        <x:v>16</x:v>
      </x:c>
      <x:c r="H11" s="74" t="n">
        <x:v>16</x:v>
      </x:c>
      <x:c r="I11" s="74" t="n">
        <x:v>14</x:v>
      </x:c>
      <x:c r="J11" s="75" t="n">
        <x:f>H11-I11</x:f>
        <x:v>2</x:v>
      </x:c>
      <x:c r="K11" s="76" t="n">
        <x:f>I11/(O11/60)</x:f>
        <x:v>1.75</x:v>
      </x:c>
      <x:c r="L11" s="77" t="n">
        <x:v>0.85</x:v>
      </x:c>
      <x:c r="M11" s="73" t="str">
        <x:v>AssemblyOperator</x:v>
      </x:c>
      <x:c r="N11" s="77" t="n">
        <x:v>0.85</x:v>
      </x:c>
      <x:c r="O11" s="74" t="n">
        <x:v>480</x:v>
      </x:c>
      <x:c r="P11" s="71" t="str">
        <x:v>Baseline_8h_Seed07.png</x:v>
      </x:c>
      <x:c r="Q11" s="71" t="str">
        <x:v>Verified against finished-run screenshot</x:v>
      </x:c>
    </x:row>
    <x:row r="12" ht="24" customHeight="1">
      <x:c r="A12" s="72" t="str">
        <x:v>S0-R08</x:v>
      </x:c>
      <x:c r="B12" s="72" t="str">
        <x:v>S0</x:v>
      </x:c>
      <x:c r="C12" s="73" t="str">
        <x:v>Baseline_8h</x:v>
      </x:c>
      <x:c r="D12" s="74" t="n">
        <x:v>8</x:v>
      </x:c>
      <x:c r="E12" s="74" t="n">
        <x:v>30</x:v>
      </x:c>
      <x:c r="F12" s="74" t="n">
        <x:v>2</x:v>
      </x:c>
      <x:c r="G12" s="74" t="n">
        <x:v>16</x:v>
      </x:c>
      <x:c r="H12" s="74" t="n">
        <x:v>16</x:v>
      </x:c>
      <x:c r="I12" s="74" t="n">
        <x:v>14</x:v>
      </x:c>
      <x:c r="J12" s="75" t="n">
        <x:f>H12-I12</x:f>
        <x:v>2</x:v>
      </x:c>
      <x:c r="K12" s="76" t="n">
        <x:f>I12/(O12/60)</x:f>
        <x:v>1.75</x:v>
      </x:c>
      <x:c r="L12" s="77" t="n">
        <x:v>0.82</x:v>
      </x:c>
      <x:c r="M12" s="73" t="str">
        <x:v>AssemblyOperator</x:v>
      </x:c>
      <x:c r="N12" s="77" t="n">
        <x:v>0.81</x:v>
      </x:c>
      <x:c r="O12" s="74" t="n">
        <x:v>480</x:v>
      </x:c>
      <x:c r="P12" s="71" t="str">
        <x:v>Baseline_8h_Seed08.png</x:v>
      </x:c>
      <x:c r="Q12" s="71" t="str">
        <x:v>Verified against finished-run screenshot</x:v>
      </x:c>
    </x:row>
    <x:row r="13" ht="24" customHeight="1">
      <x:c r="A13" s="72" t="str">
        <x:v>S0-R09</x:v>
      </x:c>
      <x:c r="B13" s="72" t="str">
        <x:v>S0</x:v>
      </x:c>
      <x:c r="C13" s="73" t="str">
        <x:v>Baseline_8h</x:v>
      </x:c>
      <x:c r="D13" s="74" t="n">
        <x:v>9</x:v>
      </x:c>
      <x:c r="E13" s="74" t="n">
        <x:v>30</x:v>
      </x:c>
      <x:c r="F13" s="74" t="n">
        <x:v>2</x:v>
      </x:c>
      <x:c r="G13" s="74" t="n">
        <x:v>16</x:v>
      </x:c>
      <x:c r="H13" s="74" t="n">
        <x:v>16</x:v>
      </x:c>
      <x:c r="I13" s="74" t="n">
        <x:v>14</x:v>
      </x:c>
      <x:c r="J13" s="75" t="n">
        <x:f>H13-I13</x:f>
        <x:v>2</x:v>
      </x:c>
      <x:c r="K13" s="76" t="n">
        <x:f>I13/(O13/60)</x:f>
        <x:v>1.75</x:v>
      </x:c>
      <x:c r="L13" s="77" t="n">
        <x:v>0.82</x:v>
      </x:c>
      <x:c r="M13" s="73" t="str">
        <x:v>AssemblyOperator</x:v>
      </x:c>
      <x:c r="N13" s="77" t="n">
        <x:v>0.81</x:v>
      </x:c>
      <x:c r="O13" s="74" t="n">
        <x:v>480</x:v>
      </x:c>
      <x:c r="P13" s="71" t="str">
        <x:v>Baseline_8h_Seed09.png</x:v>
      </x:c>
      <x:c r="Q13" s="71" t="str">
        <x:v>Verified against finished-run screenshot</x:v>
      </x:c>
    </x:row>
    <x:row r="14" ht="24" customHeight="1">
      <x:c r="A14" s="72" t="str">
        <x:v>S0-R10</x:v>
      </x:c>
      <x:c r="B14" s="72" t="str">
        <x:v>S0</x:v>
      </x:c>
      <x:c r="C14" s="73" t="str">
        <x:v>Baseline_8h</x:v>
      </x:c>
      <x:c r="D14" s="74" t="n">
        <x:v>10</x:v>
      </x:c>
      <x:c r="E14" s="74" t="n">
        <x:v>30</x:v>
      </x:c>
      <x:c r="F14" s="74" t="n">
        <x:v>2</x:v>
      </x:c>
      <x:c r="G14" s="74" t="n">
        <x:v>16</x:v>
      </x:c>
      <x:c r="H14" s="74" t="n">
        <x:v>16</x:v>
      </x:c>
      <x:c r="I14" s="74" t="n">
        <x:v>14</x:v>
      </x:c>
      <x:c r="J14" s="75" t="n">
        <x:f>H14-I14</x:f>
        <x:v>2</x:v>
      </x:c>
      <x:c r="K14" s="76" t="n">
        <x:f>I14/(O14/60)</x:f>
        <x:v>1.75</x:v>
      </x:c>
      <x:c r="L14" s="77" t="n">
        <x:v>0.84</x:v>
      </x:c>
      <x:c r="M14" s="73" t="str">
        <x:v>AssemblyOperator</x:v>
      </x:c>
      <x:c r="N14" s="77" t="n">
        <x:v>0.84</x:v>
      </x:c>
      <x:c r="O14" s="74" t="n">
        <x:v>480</x:v>
      </x:c>
      <x:c r="P14" s="71" t="str">
        <x:v>Baseline_8h_Seed10.png</x:v>
      </x:c>
      <x:c r="Q14" s="71" t="str">
        <x:v>Verified against finished-run screenshot</x:v>
      </x:c>
    </x:row>
    <x:row r="15" ht="24" customHeight="1">
      <x:c r="A15" s="72" t="str">
        <x:v>S1-R01</x:v>
      </x:c>
      <x:c r="B15" s="72" t="str">
        <x:v>S1</x:v>
      </x:c>
      <x:c r="C15" s="73" t="str">
        <x:v>HighDemand_8h</x:v>
      </x:c>
      <x:c r="D15" s="74" t="n">
        <x:v>1</x:v>
      </x:c>
      <x:c r="E15" s="74" t="n">
        <x:v>20</x:v>
      </x:c>
      <x:c r="F15" s="74" t="n">
        <x:v>2</x:v>
      </x:c>
      <x:c r="G15" s="74" t="n">
        <x:v>24</x:v>
      </x:c>
      <x:c r="H15" s="74" t="n">
        <x:v>24</x:v>
      </x:c>
      <x:c r="I15" s="74" t="n">
        <x:v>13</x:v>
      </x:c>
      <x:c r="J15" s="75" t="n">
        <x:f>H15-I15</x:f>
        <x:v>11</x:v>
      </x:c>
      <x:c r="K15" s="76" t="n">
        <x:f>I15/(O15/60)</x:f>
        <x:v>1.625</x:v>
      </x:c>
      <x:c r="L15" s="77" t="n">
        <x:v>0.94</x:v>
      </x:c>
      <x:c r="M15" s="73" t="str">
        <x:v>AssemblyOperator</x:v>
      </x:c>
      <x:c r="N15" s="77" t="n">
        <x:v>0.94</x:v>
      </x:c>
      <x:c r="O15" s="74" t="n">
        <x:v>480</x:v>
      </x:c>
      <x:c r="P15" s="71" t="str">
        <x:v>HighDemand_8h_Seed01.png</x:v>
      </x:c>
      <x:c r="Q15" s="71" t="str">
        <x:v>Verified against finished-run screenshot</x:v>
      </x:c>
    </x:row>
    <x:row r="16" ht="24" customHeight="1">
      <x:c r="A16" s="72" t="str">
        <x:v>S1-R02</x:v>
      </x:c>
      <x:c r="B16" s="72" t="str">
        <x:v>S1</x:v>
      </x:c>
      <x:c r="C16" s="73" t="str">
        <x:v>HighDemand_8h</x:v>
      </x:c>
      <x:c r="D16" s="74" t="n">
        <x:v>2</x:v>
      </x:c>
      <x:c r="E16" s="74" t="n">
        <x:v>20</x:v>
      </x:c>
      <x:c r="F16" s="74" t="n">
        <x:v>2</x:v>
      </x:c>
      <x:c r="G16" s="74" t="n">
        <x:v>24</x:v>
      </x:c>
      <x:c r="H16" s="74" t="n">
        <x:v>24</x:v>
      </x:c>
      <x:c r="I16" s="74" t="n">
        <x:v>13</x:v>
      </x:c>
      <x:c r="J16" s="75" t="n">
        <x:f>H16-I16</x:f>
        <x:v>11</x:v>
      </x:c>
      <x:c r="K16" s="76" t="n">
        <x:f>I16/(O16/60)</x:f>
        <x:v>1.625</x:v>
      </x:c>
      <x:c r="L16" s="77" t="n">
        <x:v>0.95</x:v>
      </x:c>
      <x:c r="M16" s="73" t="str">
        <x:v>AssemblyOperator</x:v>
      </x:c>
      <x:c r="N16" s="77" t="n">
        <x:v>0.95</x:v>
      </x:c>
      <x:c r="O16" s="74" t="n">
        <x:v>480</x:v>
      </x:c>
      <x:c r="P16" s="71" t="str">
        <x:v>HighDemand_8h_Seed02.png</x:v>
      </x:c>
      <x:c r="Q16" s="71" t="str">
        <x:v>Verified against finished-run screenshot</x:v>
      </x:c>
    </x:row>
    <x:row r="17" ht="24" customHeight="1">
      <x:c r="A17" s="72" t="str">
        <x:v>S1-R03</x:v>
      </x:c>
      <x:c r="B17" s="72" t="str">
        <x:v>S1</x:v>
      </x:c>
      <x:c r="C17" s="73" t="str">
        <x:v>HighDemand_8h</x:v>
      </x:c>
      <x:c r="D17" s="74" t="n">
        <x:v>3</x:v>
      </x:c>
      <x:c r="E17" s="74" t="n">
        <x:v>20</x:v>
      </x:c>
      <x:c r="F17" s="74" t="n">
        <x:v>2</x:v>
      </x:c>
      <x:c r="G17" s="74" t="n">
        <x:v>24</x:v>
      </x:c>
      <x:c r="H17" s="74" t="n">
        <x:v>24</x:v>
      </x:c>
      <x:c r="I17" s="74" t="n">
        <x:v>13</x:v>
      </x:c>
      <x:c r="J17" s="75" t="n">
        <x:f>H17-I17</x:f>
        <x:v>11</x:v>
      </x:c>
      <x:c r="K17" s="76" t="n">
        <x:f>I17/(O17/60)</x:f>
        <x:v>1.625</x:v>
      </x:c>
      <x:c r="L17" s="77" t="n">
        <x:v>0.9</x:v>
      </x:c>
      <x:c r="M17" s="73" t="str">
        <x:v>AssemblyOperator</x:v>
      </x:c>
      <x:c r="N17" s="77" t="n">
        <x:v>0.89</x:v>
      </x:c>
      <x:c r="O17" s="74" t="n">
        <x:v>480</x:v>
      </x:c>
      <x:c r="P17" s="71" t="str">
        <x:v>HighDemand_8h_Seed03.png</x:v>
      </x:c>
      <x:c r="Q17" s="71" t="str">
        <x:v>Verified against finished-run screenshot</x:v>
      </x:c>
    </x:row>
    <x:row r="18" ht="24" customHeight="1">
      <x:c r="A18" s="72" t="str">
        <x:v>S1-R04</x:v>
      </x:c>
      <x:c r="B18" s="72" t="str">
        <x:v>S1</x:v>
      </x:c>
      <x:c r="C18" s="73" t="str">
        <x:v>HighDemand_8h</x:v>
      </x:c>
      <x:c r="D18" s="74" t="n">
        <x:v>4</x:v>
      </x:c>
      <x:c r="E18" s="74" t="n">
        <x:v>20</x:v>
      </x:c>
      <x:c r="F18" s="74" t="n">
        <x:v>2</x:v>
      </x:c>
      <x:c r="G18" s="74" t="n">
        <x:v>24</x:v>
      </x:c>
      <x:c r="H18" s="74" t="n">
        <x:v>24</x:v>
      </x:c>
      <x:c r="I18" s="74" t="n">
        <x:v>12</x:v>
      </x:c>
      <x:c r="J18" s="75" t="n">
        <x:f>H18-I18</x:f>
        <x:v>12</x:v>
      </x:c>
      <x:c r="K18" s="76" t="n">
        <x:f>I18/(O18/60)</x:f>
        <x:v>1.5</x:v>
      </x:c>
      <x:c r="L18" s="77" t="n">
        <x:v>0.92</x:v>
      </x:c>
      <x:c r="M18" s="73" t="str">
        <x:v>AssemblyOperator</x:v>
      </x:c>
      <x:c r="N18" s="77" t="n">
        <x:v>0.91</x:v>
      </x:c>
      <x:c r="O18" s="74" t="n">
        <x:v>480</x:v>
      </x:c>
      <x:c r="P18" s="71" t="str">
        <x:v>HighDemand_8h_Seed04.png</x:v>
      </x:c>
      <x:c r="Q18" s="71" t="str">
        <x:v>Verified against finished-run screenshot</x:v>
      </x:c>
    </x:row>
    <x:row r="19" ht="24" customHeight="1">
      <x:c r="A19" s="72" t="str">
        <x:v>S1-R05</x:v>
      </x:c>
      <x:c r="B19" s="72" t="str">
        <x:v>S1</x:v>
      </x:c>
      <x:c r="C19" s="73" t="str">
        <x:v>HighDemand_8h</x:v>
      </x:c>
      <x:c r="D19" s="74" t="n">
        <x:v>5</x:v>
      </x:c>
      <x:c r="E19" s="74" t="n">
        <x:v>20</x:v>
      </x:c>
      <x:c r="F19" s="74" t="n">
        <x:v>2</x:v>
      </x:c>
      <x:c r="G19" s="74" t="n">
        <x:v>24</x:v>
      </x:c>
      <x:c r="H19" s="74" t="n">
        <x:v>24</x:v>
      </x:c>
      <x:c r="I19" s="74" t="n">
        <x:v>12</x:v>
      </x:c>
      <x:c r="J19" s="75" t="n">
        <x:f>H19-I19</x:f>
        <x:v>12</x:v>
      </x:c>
      <x:c r="K19" s="76" t="n">
        <x:f>I19/(O19/60)</x:f>
        <x:v>1.5</x:v>
      </x:c>
      <x:c r="L19" s="77" t="n">
        <x:v>0.93</x:v>
      </x:c>
      <x:c r="M19" s="73" t="str">
        <x:v>AssemblyOperator</x:v>
      </x:c>
      <x:c r="N19" s="77" t="n">
        <x:v>0.93</x:v>
      </x:c>
      <x:c r="O19" s="74" t="n">
        <x:v>480</x:v>
      </x:c>
      <x:c r="P19" s="71" t="str">
        <x:v>HighDemand_8h_Seed05.png</x:v>
      </x:c>
      <x:c r="Q19" s="71" t="str">
        <x:v>Verified against finished-run screenshot</x:v>
      </x:c>
    </x:row>
    <x:row r="20" ht="24" customHeight="1">
      <x:c r="A20" s="72" t="str">
        <x:v>S1-R06</x:v>
      </x:c>
      <x:c r="B20" s="72" t="str">
        <x:v>S1</x:v>
      </x:c>
      <x:c r="C20" s="73" t="str">
        <x:v>HighDemand_8h</x:v>
      </x:c>
      <x:c r="D20" s="74" t="n">
        <x:v>6</x:v>
      </x:c>
      <x:c r="E20" s="74" t="n">
        <x:v>20</x:v>
      </x:c>
      <x:c r="F20" s="74" t="n">
        <x:v>2</x:v>
      </x:c>
      <x:c r="G20" s="74" t="n">
        <x:v>24</x:v>
      </x:c>
      <x:c r="H20" s="74" t="n">
        <x:v>24</x:v>
      </x:c>
      <x:c r="I20" s="74" t="n">
        <x:v>13</x:v>
      </x:c>
      <x:c r="J20" s="75" t="n">
        <x:f>H20-I20</x:f>
        <x:v>11</x:v>
      </x:c>
      <x:c r="K20" s="76" t="n">
        <x:f>I20/(O20/60)</x:f>
        <x:v>1.625</x:v>
      </x:c>
      <x:c r="L20" s="77" t="n">
        <x:v>0.96</x:v>
      </x:c>
      <x:c r="M20" s="73" t="str">
        <x:v>AssemblyOperator</x:v>
      </x:c>
      <x:c r="N20" s="77" t="n">
        <x:v>0.95</x:v>
      </x:c>
      <x:c r="O20" s="74" t="n">
        <x:v>480</x:v>
      </x:c>
      <x:c r="P20" s="71" t="str">
        <x:v>HighDemand_8h_Seed06.png</x:v>
      </x:c>
      <x:c r="Q20" s="71" t="str">
        <x:v>Verified against finished-run screenshot</x:v>
      </x:c>
    </x:row>
    <x:row r="21" ht="24" customHeight="1">
      <x:c r="A21" s="72" t="str">
        <x:v>S1-R07</x:v>
      </x:c>
      <x:c r="B21" s="72" t="str">
        <x:v>S1</x:v>
      </x:c>
      <x:c r="C21" s="73" t="str">
        <x:v>HighDemand_8h</x:v>
      </x:c>
      <x:c r="D21" s="74" t="n">
        <x:v>7</x:v>
      </x:c>
      <x:c r="E21" s="74" t="n">
        <x:v>20</x:v>
      </x:c>
      <x:c r="F21" s="74" t="n">
        <x:v>2</x:v>
      </x:c>
      <x:c r="G21" s="74" t="n">
        <x:v>24</x:v>
      </x:c>
      <x:c r="H21" s="74" t="n">
        <x:v>24</x:v>
      </x:c>
      <x:c r="I21" s="74" t="n">
        <x:v>12</x:v>
      </x:c>
      <x:c r="J21" s="75" t="n">
        <x:f>H21-I21</x:f>
        <x:v>12</x:v>
      </x:c>
      <x:c r="K21" s="76" t="n">
        <x:f>I21/(O21/60)</x:f>
        <x:v>1.5</x:v>
      </x:c>
      <x:c r="L21" s="77" t="n">
        <x:v>0.93</x:v>
      </x:c>
      <x:c r="M21" s="73" t="str">
        <x:v>AssemblyOperator</x:v>
      </x:c>
      <x:c r="N21" s="77" t="n">
        <x:v>0.93</x:v>
      </x:c>
      <x:c r="O21" s="74" t="n">
        <x:v>480</x:v>
      </x:c>
      <x:c r="P21" s="71" t="str">
        <x:v>HighDemand_8h_Seed07.png</x:v>
      </x:c>
      <x:c r="Q21" s="71" t="str">
        <x:v>Verified against finished-run screenshot</x:v>
      </x:c>
    </x:row>
    <x:row r="22" ht="24" customHeight="1">
      <x:c r="A22" s="72" t="str">
        <x:v>S1-R08</x:v>
      </x:c>
      <x:c r="B22" s="72" t="str">
        <x:v>S1</x:v>
      </x:c>
      <x:c r="C22" s="73" t="str">
        <x:v>HighDemand_8h</x:v>
      </x:c>
      <x:c r="D22" s="74" t="n">
        <x:v>8</x:v>
      </x:c>
      <x:c r="E22" s="74" t="n">
        <x:v>20</x:v>
      </x:c>
      <x:c r="F22" s="74" t="n">
        <x:v>2</x:v>
      </x:c>
      <x:c r="G22" s="74" t="n">
        <x:v>24</x:v>
      </x:c>
      <x:c r="H22" s="74" t="n">
        <x:v>24</x:v>
      </x:c>
      <x:c r="I22" s="74" t="n">
        <x:v>13</x:v>
      </x:c>
      <x:c r="J22" s="75" t="n">
        <x:f>H22-I22</x:f>
        <x:v>11</x:v>
      </x:c>
      <x:c r="K22" s="76" t="n">
        <x:f>I22/(O22/60)</x:f>
        <x:v>1.625</x:v>
      </x:c>
      <x:c r="L22" s="77" t="n">
        <x:v>0.94</x:v>
      </x:c>
      <x:c r="M22" s="73" t="str">
        <x:v>AssemblyOperator</x:v>
      </x:c>
      <x:c r="N22" s="77" t="n">
        <x:v>0.93</x:v>
      </x:c>
      <x:c r="O22" s="74" t="n">
        <x:v>480</x:v>
      </x:c>
      <x:c r="P22" s="71" t="str">
        <x:v>HighDemand_8h_Seed08.png</x:v>
      </x:c>
      <x:c r="Q22" s="71" t="str">
        <x:v>Verified against finished-run screenshot</x:v>
      </x:c>
    </x:row>
    <x:row r="23" ht="24" customHeight="1">
      <x:c r="A23" s="72" t="str">
        <x:v>S1-R09</x:v>
      </x:c>
      <x:c r="B23" s="72" t="str">
        <x:v>S1</x:v>
      </x:c>
      <x:c r="C23" s="73" t="str">
        <x:v>HighDemand_8h</x:v>
      </x:c>
      <x:c r="D23" s="74" t="n">
        <x:v>9</x:v>
      </x:c>
      <x:c r="E23" s="74" t="n">
        <x:v>20</x:v>
      </x:c>
      <x:c r="F23" s="74" t="n">
        <x:v>2</x:v>
      </x:c>
      <x:c r="G23" s="74" t="n">
        <x:v>24</x:v>
      </x:c>
      <x:c r="H23" s="74" t="n">
        <x:v>24</x:v>
      </x:c>
      <x:c r="I23" s="74" t="n">
        <x:v>12</x:v>
      </x:c>
      <x:c r="J23" s="75" t="n">
        <x:f>H23-I23</x:f>
        <x:v>12</x:v>
      </x:c>
      <x:c r="K23" s="76" t="n">
        <x:f>I23/(O23/60)</x:f>
        <x:v>1.5</x:v>
      </x:c>
      <x:c r="L23" s="77" t="n">
        <x:v>0.94</x:v>
      </x:c>
      <x:c r="M23" s="73" t="str">
        <x:v>AssemblyOperator</x:v>
      </x:c>
      <x:c r="N23" s="77" t="n">
        <x:v>0.93</x:v>
      </x:c>
      <x:c r="O23" s="74" t="n">
        <x:v>480</x:v>
      </x:c>
      <x:c r="P23" s="71" t="str">
        <x:v>HighDemand_8h_Seed09.png</x:v>
      </x:c>
      <x:c r="Q23" s="71" t="str">
        <x:v>Verified against finished-run screenshot</x:v>
      </x:c>
    </x:row>
    <x:row r="24" ht="24" customHeight="1">
      <x:c r="A24" s="72" t="str">
        <x:v>S1-R10</x:v>
      </x:c>
      <x:c r="B24" s="72" t="str">
        <x:v>S1</x:v>
      </x:c>
      <x:c r="C24" s="73" t="str">
        <x:v>HighDemand_8h</x:v>
      </x:c>
      <x:c r="D24" s="74" t="n">
        <x:v>10</x:v>
      </x:c>
      <x:c r="E24" s="74" t="n">
        <x:v>20</x:v>
      </x:c>
      <x:c r="F24" s="74" t="n">
        <x:v>2</x:v>
      </x:c>
      <x:c r="G24" s="74" t="n">
        <x:v>24</x:v>
      </x:c>
      <x:c r="H24" s="74" t="n">
        <x:v>24</x:v>
      </x:c>
      <x:c r="I24" s="74" t="n">
        <x:v>12</x:v>
      </x:c>
      <x:c r="J24" s="75" t="n">
        <x:f>H24-I24</x:f>
        <x:v>12</x:v>
      </x:c>
      <x:c r="K24" s="76" t="n">
        <x:f>I24/(O24/60)</x:f>
        <x:v>1.5</x:v>
      </x:c>
      <x:c r="L24" s="77" t="n">
        <x:v>0.94</x:v>
      </x:c>
      <x:c r="M24" s="73" t="str">
        <x:v>AssemblyOperator</x:v>
      </x:c>
      <x:c r="N24" s="77" t="n">
        <x:v>0.94</x:v>
      </x:c>
      <x:c r="O24" s="74" t="n">
        <x:v>480</x:v>
      </x:c>
      <x:c r="P24" s="71" t="str">
        <x:v>HighDemand_8h_Seed10.png</x:v>
      </x:c>
      <x:c r="Q24" s="71" t="str">
        <x:v>Verified against finished-run screenshot</x:v>
      </x:c>
    </x:row>
    <x:row r="25" ht="24" customHeight="1">
      <x:c r="A25" s="72" t="str">
        <x:v>S2-R01</x:v>
      </x:c>
      <x:c r="B25" s="72" t="str">
        <x:v>S2</x:v>
      </x:c>
      <x:c r="C25" s="73" t="str">
        <x:v>HighDemand_3Operators</x:v>
      </x:c>
      <x:c r="D25" s="74" t="n">
        <x:v>1</x:v>
      </x:c>
      <x:c r="E25" s="74" t="n">
        <x:v>20</x:v>
      </x:c>
      <x:c r="F25" s="74" t="n">
        <x:v>3</x:v>
      </x:c>
      <x:c r="G25" s="74" t="n">
        <x:v>24</x:v>
      </x:c>
      <x:c r="H25" s="74" t="n">
        <x:v>24</x:v>
      </x:c>
      <x:c r="I25" s="74" t="n">
        <x:v>19</x:v>
      </x:c>
      <x:c r="J25" s="75" t="n">
        <x:f>H25-I25</x:f>
        <x:v>5</x:v>
      </x:c>
      <x:c r="K25" s="76" t="n">
        <x:f>I25/(O25/60)</x:f>
        <x:v>2.375</x:v>
      </x:c>
      <x:c r="L25" s="77" t="n">
        <x:v>0.79</x:v>
      </x:c>
      <x:c r="M25" s="73" t="str">
        <x:v>MechanicalBench</x:v>
      </x:c>
      <x:c r="N25" s="77" t="n">
        <x:v>0.98</x:v>
      </x:c>
      <x:c r="O25" s="74" t="n">
        <x:v>480</x:v>
      </x:c>
      <x:c r="P25" s="71" t="str">
        <x:v>HighDemand_3Operators_Seed01.png</x:v>
      </x:c>
      <x:c r="Q25" s="71" t="str">
        <x:v>Verified against finished-run screenshot</x:v>
      </x:c>
    </x:row>
    <x:row r="26" ht="24" customHeight="1">
      <x:c r="A26" s="72" t="str">
        <x:v>S2-R02</x:v>
      </x:c>
      <x:c r="B26" s="72" t="str">
        <x:v>S2</x:v>
      </x:c>
      <x:c r="C26" s="73" t="str">
        <x:v>HighDemand_3Operators</x:v>
      </x:c>
      <x:c r="D26" s="74" t="n">
        <x:v>2</x:v>
      </x:c>
      <x:c r="E26" s="74" t="n">
        <x:v>20</x:v>
      </x:c>
      <x:c r="F26" s="74" t="n">
        <x:v>3</x:v>
      </x:c>
      <x:c r="G26" s="74" t="n">
        <x:v>24</x:v>
      </x:c>
      <x:c r="H26" s="74" t="n">
        <x:v>24</x:v>
      </x:c>
      <x:c r="I26" s="74" t="n">
        <x:v>17</x:v>
      </x:c>
      <x:c r="J26" s="75" t="n">
        <x:f>H26-I26</x:f>
        <x:v>7</x:v>
      </x:c>
      <x:c r="K26" s="76" t="n">
        <x:f>I26/(O26/60)</x:f>
        <x:v>2.125</x:v>
      </x:c>
      <x:c r="L26" s="77" t="n">
        <x:v>0.74</x:v>
      </x:c>
      <x:c r="M26" s="73" t="str">
        <x:v>MechanicalBench</x:v>
      </x:c>
      <x:c r="N26" s="77" t="n">
        <x:v>0.98</x:v>
      </x:c>
      <x:c r="O26" s="74" t="n">
        <x:v>480</x:v>
      </x:c>
      <x:c r="P26" s="71" t="str">
        <x:v>HighDemand_3Operators_Seed02.png</x:v>
      </x:c>
      <x:c r="Q26" s="71" t="str">
        <x:v>Verified against finished-run screenshot</x:v>
      </x:c>
    </x:row>
    <x:row r="27" ht="24" customHeight="1">
      <x:c r="A27" s="72" t="str">
        <x:v>S2-R03</x:v>
      </x:c>
      <x:c r="B27" s="72" t="str">
        <x:v>S2</x:v>
      </x:c>
      <x:c r="C27" s="73" t="str">
        <x:v>HighDemand_3Operators</x:v>
      </x:c>
      <x:c r="D27" s="74" t="n">
        <x:v>3</x:v>
      </x:c>
      <x:c r="E27" s="74" t="n">
        <x:v>20</x:v>
      </x:c>
      <x:c r="F27" s="74" t="n">
        <x:v>3</x:v>
      </x:c>
      <x:c r="G27" s="74" t="n">
        <x:v>24</x:v>
      </x:c>
      <x:c r="H27" s="74" t="n">
        <x:v>24</x:v>
      </x:c>
      <x:c r="I27" s="74" t="n">
        <x:v>20</x:v>
      </x:c>
      <x:c r="J27" s="75" t="n">
        <x:f>H27-I27</x:f>
        <x:v>4</x:v>
      </x:c>
      <x:c r="K27" s="76" t="n">
        <x:f>I27/(O27/60)</x:f>
        <x:v>2.5</x:v>
      </x:c>
      <x:c r="L27" s="77" t="n">
        <x:v>0.8</x:v>
      </x:c>
      <x:c r="M27" s="73" t="str">
        <x:v>MechanicalBench</x:v>
      </x:c>
      <x:c r="N27" s="77" t="n">
        <x:v>0.97</x:v>
      </x:c>
      <x:c r="O27" s="74" t="n">
        <x:v>480</x:v>
      </x:c>
      <x:c r="P27" s="71" t="str">
        <x:v>HighDemand_3Operators_Seed03.png</x:v>
      </x:c>
      <x:c r="Q27" s="71" t="str">
        <x:v>Verified against finished-run screenshot</x:v>
      </x:c>
    </x:row>
    <x:row r="28" ht="24" customHeight="1">
      <x:c r="A28" s="72" t="str">
        <x:v>S2-R04</x:v>
      </x:c>
      <x:c r="B28" s="72" t="str">
        <x:v>S2</x:v>
      </x:c>
      <x:c r="C28" s="73" t="str">
        <x:v>HighDemand_3Operators</x:v>
      </x:c>
      <x:c r="D28" s="74" t="n">
        <x:v>4</x:v>
      </x:c>
      <x:c r="E28" s="74" t="n">
        <x:v>20</x:v>
      </x:c>
      <x:c r="F28" s="74" t="n">
        <x:v>3</x:v>
      </x:c>
      <x:c r="G28" s="74" t="n">
        <x:v>24</x:v>
      </x:c>
      <x:c r="H28" s="74" t="n">
        <x:v>24</x:v>
      </x:c>
      <x:c r="I28" s="74" t="n">
        <x:v>17</x:v>
      </x:c>
      <x:c r="J28" s="75" t="n">
        <x:f>H28-I28</x:f>
        <x:v>7</x:v>
      </x:c>
      <x:c r="K28" s="76" t="n">
        <x:f>I28/(O28/60)</x:f>
        <x:v>2.125</x:v>
      </x:c>
      <x:c r="L28" s="77" t="n">
        <x:v>0.76</x:v>
      </x:c>
      <x:c r="M28" s="73" t="str">
        <x:v>MechanicalBench</x:v>
      </x:c>
      <x:c r="N28" s="77" t="n">
        <x:v>0.98</x:v>
      </x:c>
      <x:c r="O28" s="74" t="n">
        <x:v>480</x:v>
      </x:c>
      <x:c r="P28" s="71" t="str">
        <x:v>HighDemand_3Operators_Seed04.png</x:v>
      </x:c>
      <x:c r="Q28" s="71" t="str">
        <x:v>Verified against finished-run screenshot</x:v>
      </x:c>
    </x:row>
    <x:row r="29" ht="24" customHeight="1">
      <x:c r="A29" s="72" t="str">
        <x:v>S2-R05</x:v>
      </x:c>
      <x:c r="B29" s="72" t="str">
        <x:v>S2</x:v>
      </x:c>
      <x:c r="C29" s="73" t="str">
        <x:v>HighDemand_3Operators</x:v>
      </x:c>
      <x:c r="D29" s="74" t="n">
        <x:v>5</x:v>
      </x:c>
      <x:c r="E29" s="74" t="n">
        <x:v>20</x:v>
      </x:c>
      <x:c r="F29" s="74" t="n">
        <x:v>3</x:v>
      </x:c>
      <x:c r="G29" s="74" t="n">
        <x:v>24</x:v>
      </x:c>
      <x:c r="H29" s="74" t="n">
        <x:v>24</x:v>
      </x:c>
      <x:c r="I29" s="74" t="n">
        <x:v>20</x:v>
      </x:c>
      <x:c r="J29" s="75" t="n">
        <x:f>H29-I29</x:f>
        <x:v>4</x:v>
      </x:c>
      <x:c r="K29" s="76" t="n">
        <x:f>I29/(O29/60)</x:f>
        <x:v>2.5</x:v>
      </x:c>
      <x:c r="L29" s="77" t="n">
        <x:v>0.8</x:v>
      </x:c>
      <x:c r="M29" s="73" t="str">
        <x:v>MechanicalBench</x:v>
      </x:c>
      <x:c r="N29" s="77" t="n">
        <x:v>0.96</x:v>
      </x:c>
      <x:c r="O29" s="74" t="n">
        <x:v>480</x:v>
      </x:c>
      <x:c r="P29" s="71" t="str">
        <x:v>HighDemand_3Operators_Seed05.png</x:v>
      </x:c>
      <x:c r="Q29" s="71" t="str">
        <x:v>Verified against finished-run screenshot</x:v>
      </x:c>
    </x:row>
    <x:row r="30" ht="24" customHeight="1">
      <x:c r="A30" s="72" t="str">
        <x:v>S2-R06</x:v>
      </x:c>
      <x:c r="B30" s="72" t="str">
        <x:v>S2</x:v>
      </x:c>
      <x:c r="C30" s="73" t="str">
        <x:v>HighDemand_3Operators</x:v>
      </x:c>
      <x:c r="D30" s="74" t="n">
        <x:v>6</x:v>
      </x:c>
      <x:c r="E30" s="74" t="n">
        <x:v>20</x:v>
      </x:c>
      <x:c r="F30" s="74" t="n">
        <x:v>3</x:v>
      </x:c>
      <x:c r="G30" s="74" t="n">
        <x:v>24</x:v>
      </x:c>
      <x:c r="H30" s="74" t="n">
        <x:v>24</x:v>
      </x:c>
      <x:c r="I30" s="74" t="n">
        <x:v>20</x:v>
      </x:c>
      <x:c r="J30" s="75" t="n">
        <x:f>H30-I30</x:f>
        <x:v>4</x:v>
      </x:c>
      <x:c r="K30" s="76" t="n">
        <x:f>I30/(O30/60)</x:f>
        <x:v>2.5</x:v>
      </x:c>
      <x:c r="L30" s="77" t="n">
        <x:v>0.81</x:v>
      </x:c>
      <x:c r="M30" s="73" t="str">
        <x:v>MechanicalBench</x:v>
      </x:c>
      <x:c r="N30" s="77" t="n">
        <x:v>0.97</x:v>
      </x:c>
      <x:c r="O30" s="74" t="n">
        <x:v>480</x:v>
      </x:c>
      <x:c r="P30" s="71" t="str">
        <x:v>HighDemand_3Operators_Seed06.png</x:v>
      </x:c>
      <x:c r="Q30" s="71" t="str">
        <x:v>Verified against finished-run screenshot</x:v>
      </x:c>
    </x:row>
    <x:row r="31" ht="24" customHeight="1">
      <x:c r="A31" s="72" t="str">
        <x:v>S2-R07</x:v>
      </x:c>
      <x:c r="B31" s="72" t="str">
        <x:v>S2</x:v>
      </x:c>
      <x:c r="C31" s="73" t="str">
        <x:v>HighDemand_3Operators</x:v>
      </x:c>
      <x:c r="D31" s="74" t="n">
        <x:v>7</x:v>
      </x:c>
      <x:c r="E31" s="74" t="n">
        <x:v>20</x:v>
      </x:c>
      <x:c r="F31" s="74" t="n">
        <x:v>3</x:v>
      </x:c>
      <x:c r="G31" s="74" t="n">
        <x:v>24</x:v>
      </x:c>
      <x:c r="H31" s="74" t="n">
        <x:v>24</x:v>
      </x:c>
      <x:c r="I31" s="74" t="n">
        <x:v>18</x:v>
      </x:c>
      <x:c r="J31" s="75" t="n">
        <x:f>H31-I31</x:f>
        <x:v>6</x:v>
      </x:c>
      <x:c r="K31" s="76" t="n">
        <x:f>I31/(O31/60)</x:f>
        <x:v>2.25</x:v>
      </x:c>
      <x:c r="L31" s="77" t="n">
        <x:v>0.77</x:v>
      </x:c>
      <x:c r="M31" s="73" t="str">
        <x:v>MechanicalBench</x:v>
      </x:c>
      <x:c r="N31" s="77" t="n">
        <x:v>0.98</x:v>
      </x:c>
      <x:c r="O31" s="74" t="n">
        <x:v>480</x:v>
      </x:c>
      <x:c r="P31" s="71" t="str">
        <x:v>HighDemand_3Operators_Seed07.png</x:v>
      </x:c>
      <x:c r="Q31" s="71" t="str">
        <x:v>Verified against finished-run screenshot</x:v>
      </x:c>
    </x:row>
    <x:row r="32" ht="24" customHeight="1">
      <x:c r="A32" s="72" t="str">
        <x:v>S2-R08</x:v>
      </x:c>
      <x:c r="B32" s="72" t="str">
        <x:v>S2</x:v>
      </x:c>
      <x:c r="C32" s="73" t="str">
        <x:v>HighDemand_3Operators</x:v>
      </x:c>
      <x:c r="D32" s="74" t="n">
        <x:v>8</x:v>
      </x:c>
      <x:c r="E32" s="74" t="n">
        <x:v>20</x:v>
      </x:c>
      <x:c r="F32" s="74" t="n">
        <x:v>3</x:v>
      </x:c>
      <x:c r="G32" s="74" t="n">
        <x:v>24</x:v>
      </x:c>
      <x:c r="H32" s="74" t="n">
        <x:v>24</x:v>
      </x:c>
      <x:c r="I32" s="74" t="n">
        <x:v>20</x:v>
      </x:c>
      <x:c r="J32" s="75" t="n">
        <x:f>H32-I32</x:f>
        <x:v>4</x:v>
      </x:c>
      <x:c r="K32" s="76" t="n">
        <x:f>I32/(O32/60)</x:f>
        <x:v>2.5</x:v>
      </x:c>
      <x:c r="L32" s="77" t="n">
        <x:v>0.81</x:v>
      </x:c>
      <x:c r="M32" s="73" t="str">
        <x:v>MechanicalBench</x:v>
      </x:c>
      <x:c r="N32" s="77" t="n">
        <x:v>0.96</x:v>
      </x:c>
      <x:c r="O32" s="74" t="n">
        <x:v>480</x:v>
      </x:c>
      <x:c r="P32" s="71" t="str">
        <x:v>HighDemand_3Operators_Seed08.png</x:v>
      </x:c>
      <x:c r="Q32" s="71" t="str">
        <x:v>Verified against finished-run screenshot</x:v>
      </x:c>
    </x:row>
    <x:row r="33" ht="24" customHeight="1">
      <x:c r="A33" s="72" t="str">
        <x:v>S2-R09</x:v>
      </x:c>
      <x:c r="B33" s="72" t="str">
        <x:v>S2</x:v>
      </x:c>
      <x:c r="C33" s="73" t="str">
        <x:v>HighDemand_3Operators</x:v>
      </x:c>
      <x:c r="D33" s="74" t="n">
        <x:v>9</x:v>
      </x:c>
      <x:c r="E33" s="74" t="n">
        <x:v>20</x:v>
      </x:c>
      <x:c r="F33" s="74" t="n">
        <x:v>3</x:v>
      </x:c>
      <x:c r="G33" s="74" t="n">
        <x:v>24</x:v>
      </x:c>
      <x:c r="H33" s="74" t="n">
        <x:v>24</x:v>
      </x:c>
      <x:c r="I33" s="74" t="n">
        <x:v>19</x:v>
      </x:c>
      <x:c r="J33" s="75" t="n">
        <x:f>H33-I33</x:f>
        <x:v>5</x:v>
      </x:c>
      <x:c r="K33" s="76" t="n">
        <x:f>I33/(O33/60)</x:f>
        <x:v>2.375</x:v>
      </x:c>
      <x:c r="L33" s="77" t="n">
        <x:v>0.79</x:v>
      </x:c>
      <x:c r="M33" s="73" t="str">
        <x:v>MechanicalBench</x:v>
      </x:c>
      <x:c r="N33" s="77" t="n">
        <x:v>0.98</x:v>
      </x:c>
      <x:c r="O33" s="74" t="n">
        <x:v>480</x:v>
      </x:c>
      <x:c r="P33" s="71" t="str">
        <x:v>HighDemand_3Operators_Seed09.png</x:v>
      </x:c>
      <x:c r="Q33" s="71" t="str">
        <x:v>Verified against finished-run screenshot</x:v>
      </x:c>
    </x:row>
    <x:row r="34" ht="24" customHeight="1">
      <x:c r="A34" s="72" t="str">
        <x:v>S2-R10</x:v>
      </x:c>
      <x:c r="B34" s="72" t="str">
        <x:v>S2</x:v>
      </x:c>
      <x:c r="C34" s="73" t="str">
        <x:v>HighDemand_3Operators</x:v>
      </x:c>
      <x:c r="D34" s="74" t="n">
        <x:v>10</x:v>
      </x:c>
      <x:c r="E34" s="74" t="n">
        <x:v>20</x:v>
      </x:c>
      <x:c r="F34" s="74" t="n">
        <x:v>3</x:v>
      </x:c>
      <x:c r="G34" s="74" t="n">
        <x:v>24</x:v>
      </x:c>
      <x:c r="H34" s="74" t="n">
        <x:v>24</x:v>
      </x:c>
      <x:c r="I34" s="74" t="n">
        <x:v>17</x:v>
      </x:c>
      <x:c r="J34" s="75" t="n">
        <x:f>H34-I34</x:f>
        <x:v>7</x:v>
      </x:c>
      <x:c r="K34" s="76" t="n">
        <x:f>I34/(O34/60)</x:f>
        <x:v>2.125</x:v>
      </x:c>
      <x:c r="L34" s="77" t="n">
        <x:v>0.76</x:v>
      </x:c>
      <x:c r="M34" s="73" t="str">
        <x:v>MechanicalBench</x:v>
      </x:c>
      <x:c r="N34" s="77" t="n">
        <x:v>0.97</x:v>
      </x:c>
      <x:c r="O34" s="74" t="n">
        <x:v>480</x:v>
      </x:c>
      <x:c r="P34" s="71" t="str">
        <x:v>HighDemand_3Operators_Seed10.png</x:v>
      </x:c>
      <x:c r="Q34" s="71" t="str">
        <x:v>Verified against finished-run screenshot</x:v>
      </x:c>
    </x:row>
    <x:row r="36" ht="31.5" customHeight="1">
      <x:c r="A36" s="80" t="str">
        <x:v>Metric definitions: AssemblyOperator_Utilization is transcribed from the top KPI text; Bottleneck_Utilization is transcribed from the lower resource-pool icon for the identified bottleneck. These two UI readings may differ by 1 percentage point. End_WIP and Throughput are formula-derived.</x:v>
      </x:c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</x:row>
  </x:sheetData>
  <x:mergeCells>
    <x:mergeCell ref="A1:Q1"/>
    <x:mergeCell ref="A2:Q2"/>
    <x:mergeCell ref="A36:Q36"/>
  </x:mergeCells>
  <x:conditionalFormatting sqref="L5:L34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5:N34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d977a9f7b914f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.670000076293945" hidden="0" customWidth="1"/>
    <x:col min="3" max="3" width="8.890000343322754" hidden="0" customWidth="1"/>
    <x:col min="4" max="4" width="11.109999656677246" hidden="0" customWidth="1"/>
    <x:col min="5" max="5" width="10" hidden="0" customWidth="1"/>
    <x:col min="6" max="6" width="12" hidden="0" customWidth="1"/>
    <x:col min="7" max="7" width="9.109999656677246" hidden="0" customWidth="1"/>
    <x:col min="8" max="8" width="8.4399995803833" hidden="0" customWidth="1"/>
    <x:col min="9" max="9" width="10.220000267028809" hidden="0" customWidth="1"/>
    <x:col min="10" max="10" width="12.4399995803833" hidden="0" customWidth="1"/>
    <x:col min="11" max="11" width="11.329999923706055" hidden="0" customWidth="1"/>
    <x:col min="12" max="12" width="13.5600004196167" hidden="0" customWidth="1"/>
    <x:col min="13" max="13" width="13.329999923706055" hidden="0" customWidth="1"/>
    <x:col min="14" max="14" width="12.220000267028809" hidden="0" customWidth="1"/>
    <x:col min="15" max="15" width="14.4399995803833" hidden="0" customWidth="1"/>
    <x:col min="16" max="16" width="15" hidden="0" customWidth="1"/>
    <x:col min="17" max="17" width="12.779999732971191" hidden="0" customWidth="1"/>
    <x:col min="18" max="18" width="14.4399995803833" hidden="0" customWidth="1"/>
  </x:cols>
  <x:sheetData>
    <x:row r="1" ht="25.5" customHeight="1">
      <x:c r="A1" s="81" t="str">
        <x:v>Repeated-Run Statistical Summary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</x:row>
    <x:row r="2">
      <x:c r="A2" s="49" t="str">
        <x:v>Mean, sample standard deviation and two-sided 95% confidence-interval half-width across 10 seeds; Student t distribution is used because n = 10.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</x:row>
    <x:row r="4" ht="31.5" customHeight="1">
      <x:c r="A4" s="71" t="str">
        <x:v>Scenario_ID</x:v>
      </x:c>
      <x:c r="B4" s="71" t="str">
        <x:v>Scenario_Name</x:v>
      </x:c>
      <x:c r="C4" s="71" t="str">
        <x:v>Replications</x:v>
      </x:c>
      <x:c r="D4" s="71" t="str">
        <x:v>Mean_Completed</x:v>
      </x:c>
      <x:c r="E4" s="71" t="str">
        <x:v>SD_Completed</x:v>
      </x:c>
      <x:c r="F4" s="71" t="str">
        <x:v>Completed_CI95_HalfWidth</x:v>
      </x:c>
      <x:c r="G4" s="71" t="str">
        <x:v>Mean_WIP</x:v>
      </x:c>
      <x:c r="H4" s="71" t="str">
        <x:v>SD_WIP</x:v>
      </x:c>
      <x:c r="I4" s="71" t="str">
        <x:v>WIP_CI95_HalfWidth</x:v>
      </x:c>
      <x:c r="J4" s="71" t="str">
        <x:v>Mean_Throughput</x:v>
      </x:c>
      <x:c r="K4" s="71" t="str">
        <x:v>SD_Throughput</x:v>
      </x:c>
      <x:c r="L4" s="71" t="str">
        <x:v>Throughput_CI95_HalfWidth</x:v>
      </x:c>
      <x:c r="M4" s="71" t="str">
        <x:v>Mean_Assembly_Util</x:v>
      </x:c>
      <x:c r="N4" s="71" t="str">
        <x:v>SD_Assembly_Util</x:v>
      </x:c>
      <x:c r="O4" s="71" t="str">
        <x:v>AssemblyUtil_CI95_HalfWidth</x:v>
      </x:c>
      <x:c r="P4" s="71" t="str">
        <x:v>Dominant_Bottleneck</x:v>
      </x:c>
      <x:c r="Q4" s="71" t="str">
        <x:v>Bottleneck_Frequency</x:v>
      </x:c>
      <x:c r="R4" s="71" t="str">
        <x:v>Mean_Bottleneck_Util</x:v>
      </x:c>
    </x:row>
    <x:row r="5" ht="21" customHeight="1">
      <x:c r="A5" s="72" t="str">
        <x:v>S0</x:v>
      </x:c>
      <x:c r="B5" s="72" t="str">
        <x:v>Baseline_8h</x:v>
      </x:c>
      <x:c r="C5" s="74" t="n">
        <x:f>COUNTIF('Repeated_Runs'!$B$5:$B$104,$A5)</x:f>
        <x:v>10</x:v>
      </x:c>
      <x:c r="D5" s="93" t="n">
        <x:f>AVERAGEIF('Repeated_Runs'!$B$5:$B$104,$A5,'Repeated_Runs'!$I$5:$I$104)</x:f>
        <x:v>14</x:v>
      </x:c>
      <x:c r="E5" s="93" t="n">
        <x:f>SQRT(SUMPRODUCT(('Repeated_Runs'!$B$5:$B$104=$A5)*('Repeated_Runs'!$I$5:$I$104-D5)^2)/(C5-1))</x:f>
        <x:v>0</x:v>
      </x:c>
      <x:c r="F5" s="93" t="n">
        <x:f>$B$19*E5/SQRT(C5)</x:f>
        <x:v>0</x:v>
      </x:c>
      <x:c r="G5" s="93" t="n">
        <x:f>AVERAGEIF('Repeated_Runs'!$B$5:$B$104,$A5,'Repeated_Runs'!$J$5:$J$104)</x:f>
        <x:v>2</x:v>
      </x:c>
      <x:c r="H5" s="93" t="n">
        <x:f>SQRT(SUMPRODUCT(('Repeated_Runs'!$B$5:$B$104=$A5)*('Repeated_Runs'!$J$5:$J$104-G5)^2)/(C5-1))</x:f>
        <x:v>0</x:v>
      </x:c>
      <x:c r="I5" s="93" t="n">
        <x:f>$B$19*H5/SQRT(C5)</x:f>
        <x:v>0</x:v>
      </x:c>
      <x:c r="J5" s="93" t="n">
        <x:f>AVERAGEIF('Repeated_Runs'!$B$5:$B$104,$A5,'Repeated_Runs'!$K$5:$K$104)</x:f>
        <x:v>1.75</x:v>
      </x:c>
      <x:c r="K5" s="93" t="n">
        <x:f>SQRT(SUMPRODUCT(('Repeated_Runs'!$B$5:$B$104=$A5)*('Repeated_Runs'!$K$5:$K$104-J5)^2)/(C5-1))</x:f>
        <x:v>0</x:v>
      </x:c>
      <x:c r="L5" s="93" t="n">
        <x:f>$B$19*K5/SQRT(C5)</x:f>
        <x:v>0</x:v>
      </x:c>
      <x:c r="M5" s="94" t="n">
        <x:f>AVERAGEIF('Repeated_Runs'!$B$5:$B$104,$A5,'Repeated_Runs'!$L$5:$L$104)</x:f>
        <x:v>0.8400000000000001</x:v>
      </x:c>
      <x:c r="N5" s="94" t="n">
        <x:f>SQRT(SUMPRODUCT(('Repeated_Runs'!$B$5:$B$104=$A5)*('Repeated_Runs'!$L$5:$L$104-M5)^2)/(C5-1))</x:f>
        <x:v>0.018257418583505554</x:v>
      </x:c>
      <x:c r="O5" s="94" t="n">
        <x:f>$B$19*N5/SQRT(C5)</x:f>
        <x:v>0.013060570468907849</x:v>
      </x:c>
      <x:c r="P5" s="95" t="str">
        <x:v>AssemblyOperator</x:v>
      </x:c>
      <x:c r="Q5" s="94" t="n">
        <x:f>COUNTIFS('Repeated_Runs'!$B$5:$B$104,$A5,'Repeated_Runs'!$M$5:$M$104,P5)/C5</x:f>
        <x:v>1</x:v>
      </x:c>
      <x:c r="R5" s="94" t="n">
        <x:f>SUMIFS('Repeated_Runs'!$N$5:$N$104,'Repeated_Runs'!$B$5:$B$104,$A5,'Repeated_Runs'!$M$5:$M$104,P5)/COUNTIFS('Repeated_Runs'!$B$5:$B$104,$A5,'Repeated_Runs'!$M$5:$M$104,P5)</x:f>
        <x:v>0.834</x:v>
      </x:c>
    </x:row>
    <x:row r="6" ht="21" customHeight="1">
      <x:c r="A6" s="72" t="str">
        <x:v>S1</x:v>
      </x:c>
      <x:c r="B6" s="72" t="str">
        <x:v>HighDemand_8h</x:v>
      </x:c>
      <x:c r="C6" s="74" t="n">
        <x:f>COUNTIF('Repeated_Runs'!$B$5:$B$104,$A6)</x:f>
        <x:v>10</x:v>
      </x:c>
      <x:c r="D6" s="93" t="n">
        <x:f>AVERAGEIF('Repeated_Runs'!$B$5:$B$104,$A6,'Repeated_Runs'!$I$5:$I$104)</x:f>
        <x:v>12.5</x:v>
      </x:c>
      <x:c r="E6" s="93" t="n">
        <x:f>SQRT(SUMPRODUCT(('Repeated_Runs'!$B$5:$B$104=$A6)*('Repeated_Runs'!$I$5:$I$104-D6)^2)/(C6-1))</x:f>
        <x:v>0.5270462766947299</x:v>
      </x:c>
      <x:c r="F6" s="93" t="n">
        <x:f>$B$19*E6/SQRT(C6)</x:f>
        <x:v>0.37702619379970076</x:v>
      </x:c>
      <x:c r="G6" s="93" t="n">
        <x:f>AVERAGEIF('Repeated_Runs'!$B$5:$B$104,$A6,'Repeated_Runs'!$J$5:$J$104)</x:f>
        <x:v>11.5</x:v>
      </x:c>
      <x:c r="H6" s="93" t="n">
        <x:f>SQRT(SUMPRODUCT(('Repeated_Runs'!$B$5:$B$104=$A6)*('Repeated_Runs'!$J$5:$J$104-G6)^2)/(C6-1))</x:f>
        <x:v>0.5270462766947299</x:v>
      </x:c>
      <x:c r="I6" s="93" t="n">
        <x:f>$B$19*H6/SQRT(C6)</x:f>
        <x:v>0.37702619379970076</x:v>
      </x:c>
      <x:c r="J6" s="93" t="n">
        <x:f>AVERAGEIF('Repeated_Runs'!$B$5:$B$104,$A6,'Repeated_Runs'!$K$5:$K$104)</x:f>
        <x:v>1.5625</x:v>
      </x:c>
      <x:c r="K6" s="93" t="n">
        <x:f>SQRT(SUMPRODUCT(('Repeated_Runs'!$B$5:$B$104=$A6)*('Repeated_Runs'!$K$5:$K$104-J6)^2)/(C6-1))</x:f>
        <x:v>0.06588078458684124</x:v>
      </x:c>
      <x:c r="L6" s="93" t="n">
        <x:f>$B$19*K6/SQRT(C6)</x:f>
        <x:v>0.047128274224962595</x:v>
      </x:c>
      <x:c r="M6" s="94" t="n">
        <x:f>AVERAGEIF('Repeated_Runs'!$B$5:$B$104,$A6,'Repeated_Runs'!$L$5:$L$104)</x:f>
        <x:v>0.9349999999999998</x:v>
      </x:c>
      <x:c r="N6" s="94" t="n">
        <x:f>SQRT(SUMPRODUCT(('Repeated_Runs'!$B$5:$B$104=$A6)*('Repeated_Runs'!$L$5:$L$104-M6)^2)/(C6-1))</x:f>
        <x:v>0.016499158227686078</x:v>
      </x:c>
      <x:c r="O6" s="94" t="n">
        <x:f>$B$19*N6/SQRT(C6)</x:f>
        <x:v>0.011802786780877948</x:v>
      </x:c>
      <x:c r="P6" s="95" t="str">
        <x:v>AssemblyOperator</x:v>
      </x:c>
      <x:c r="Q6" s="94" t="n">
        <x:f>COUNTIFS('Repeated_Runs'!$B$5:$B$104,$A6,'Repeated_Runs'!$M$5:$M$104,P6)/C6</x:f>
        <x:v>1</x:v>
      </x:c>
      <x:c r="R6" s="94" t="n">
        <x:f>SUMIFS('Repeated_Runs'!$N$5:$N$104,'Repeated_Runs'!$B$5:$B$104,$A6,'Repeated_Runs'!$M$5:$M$104,P6)/COUNTIFS('Repeated_Runs'!$B$5:$B$104,$A6,'Repeated_Runs'!$M$5:$M$104,P6)</x:f>
        <x:v>0.9299999999999999</x:v>
      </x:c>
    </x:row>
    <x:row r="7" ht="21" customHeight="1">
      <x:c r="A7" s="72" t="str">
        <x:v>S2</x:v>
      </x:c>
      <x:c r="B7" s="72" t="str">
        <x:v>HighDemand_3Operators</x:v>
      </x:c>
      <x:c r="C7" s="74" t="n">
        <x:f>COUNTIF('Repeated_Runs'!$B$5:$B$104,$A7)</x:f>
        <x:v>10</x:v>
      </x:c>
      <x:c r="D7" s="93" t="n">
        <x:f>AVERAGEIF('Repeated_Runs'!$B$5:$B$104,$A7,'Repeated_Runs'!$I$5:$I$104)</x:f>
        <x:v>18.7</x:v>
      </x:c>
      <x:c r="E7" s="93" t="n">
        <x:f>SQRT(SUMPRODUCT(('Repeated_Runs'!$B$5:$B$104=$A7)*('Repeated_Runs'!$I$5:$I$104-D7)^2)/(C7-1))</x:f>
        <x:v>1.3374935098492586</x:v>
      </x:c>
      <x:c r="F7" s="93" t="n">
        <x:f>$B$19*E7/SQRT(C7)</x:f>
        <x:v>0.9567852189616104</x:v>
      </x:c>
      <x:c r="G7" s="93" t="n">
        <x:f>AVERAGEIF('Repeated_Runs'!$B$5:$B$104,$A7,'Repeated_Runs'!$J$5:$J$104)</x:f>
        <x:v>5.3</x:v>
      </x:c>
      <x:c r="H7" s="93" t="n">
        <x:f>SQRT(SUMPRODUCT(('Repeated_Runs'!$B$5:$B$104=$A7)*('Repeated_Runs'!$J$5:$J$104-G7)^2)/(C7-1))</x:f>
        <x:v>1.3374935098492586</x:v>
      </x:c>
      <x:c r="I7" s="93" t="n">
        <x:f>$B$19*H7/SQRT(C7)</x:f>
        <x:v>0.9567852189616104</x:v>
      </x:c>
      <x:c r="J7" s="93" t="n">
        <x:f>AVERAGEIF('Repeated_Runs'!$B$5:$B$104,$A7,'Repeated_Runs'!$K$5:$K$104)</x:f>
        <x:v>2.3375</x:v>
      </x:c>
      <x:c r="K7" s="93" t="n">
        <x:f>SQRT(SUMPRODUCT(('Repeated_Runs'!$B$5:$B$104=$A7)*('Repeated_Runs'!$K$5:$K$104-J7)^2)/(C7-1))</x:f>
        <x:v>0.16718668873115733</x:v>
      </x:c>
      <x:c r="L7" s="93" t="n">
        <x:f>$B$19*K7/SQRT(C7)</x:f>
        <x:v>0.1195981523702013</x:v>
      </x:c>
      <x:c r="M7" s="94" t="n">
        <x:f>AVERAGEIF('Repeated_Runs'!$B$5:$B$104,$A7,'Repeated_Runs'!$L$5:$L$104)</x:f>
        <x:v>0.7829999999999999</x:v>
      </x:c>
      <x:c r="N7" s="94" t="n">
        <x:f>SQRT(SUMPRODUCT(('Repeated_Runs'!$B$5:$B$104=$A7)*('Repeated_Runs'!$L$5:$L$104-M7)^2)/(C7-1))</x:f>
        <x:v>0.02406010991015814</x:v>
      </x:c>
      <x:c r="O7" s="94" t="n">
        <x:f>$B$19*N7/SQRT(C7)</x:f>
        <x:v>0.017211565782644853</x:v>
      </x:c>
      <x:c r="P7" s="95" t="str">
        <x:v>MechanicalBench</x:v>
      </x:c>
      <x:c r="Q7" s="94" t="n">
        <x:f>COUNTIFS('Repeated_Runs'!$B$5:$B$104,$A7,'Repeated_Runs'!$M$5:$M$104,P7)/C7</x:f>
        <x:v>1</x:v>
      </x:c>
      <x:c r="R7" s="94" t="n">
        <x:f>SUMIFS('Repeated_Runs'!$N$5:$N$104,'Repeated_Runs'!$B$5:$B$104,$A7,'Repeated_Runs'!$M$5:$M$104,P7)/COUNTIFS('Repeated_Runs'!$B$5:$B$104,$A7,'Repeated_Runs'!$M$5:$M$104,P7)</x:f>
        <x:v>0.9729999999999999</x:v>
      </x:c>
    </x:row>
    <x:row r="10">
      <x:c r="A10" s="96" t="str">
        <x:v>Decision interpretation</x:v>
      </x:c>
      <x:c r="B10" s="96"/>
      <x:c r="C10" s="96"/>
      <x:c r="D10" s="96"/>
      <x:c r="E10" s="96"/>
      <x:c r="F10" s="96"/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</x:row>
    <x:row r="11" ht="23.25" customHeight="1">
      <x:c r="A11" s="101" t="str">
        <x:v>Baseline: all 10 runs completed 14 units with end WIP of 2. AssemblyOperator is the primary bottleneck; mean bottleneck utilization is 83.4%.</x:v>
      </x:c>
      <x:c r="B11" s="101"/>
      <x:c r="C11" s="101"/>
      <x:c r="D11" s="101"/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</x:row>
    <x:row r="12" ht="23.25" customHeight="1">
      <x:c r="A12" s="101" t="str">
        <x:v>High demand with 2 operators: mean completed output is 12.5 units and mean WIP is 11.5 units. AssemblyOperator remains the primary bottleneck; mean bottleneck utilization is 93.0%.</x:v>
      </x:c>
      <x:c r="B12" s="101"/>
      <x:c r="C12" s="101"/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</x:row>
    <x:row r="13" ht="23.25" customHeight="1">
      <x:c r="A13" s="101" t="str">
        <x:v>High demand with 3 operators: mean completed output rises to 18.7 units and mean WIP falls to 5.3 units. The bottleneck shifts to MechanicalBench; mean utilization is 97.3%.</x:v>
      </x:c>
      <x:c r="B13" s="101"/>
      <x:c r="C13" s="101"/>
      <x:c r="D13" s="101"/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</x:row>
    <x:row r="15">
      <x:c r="A15" s="104" t="str">
        <x:v>Statistical assumptions</x:v>
      </x:c>
      <x:c r="B15" s="104"/>
      <x:c r="C15" s="104"/>
      <x:c r="D15" s="104"/>
      <x:c r="E15" s="104"/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</x:row>
    <x:row r="16" ht="18.75" customHeight="1">
      <x:c r="A16" s="108" t="str">
        <x:v>Confidence level</x:v>
      </x:c>
      <x:c r="B16" s="109" t="n">
        <x:v>0.95</x:v>
      </x:c>
    </x:row>
    <x:row r="17" ht="18.75" customHeight="1">
      <x:c r="A17" s="108" t="str">
        <x:v>Alpha</x:v>
      </x:c>
      <x:c r="B17" s="109" t="n">
        <x:f>1-B16</x:f>
        <x:v>0.050000000000000044</x:v>
      </x:c>
    </x:row>
    <x:row r="18" ht="18.75" customHeight="1">
      <x:c r="A18" s="108" t="str">
        <x:v>CI method</x:v>
      </x:c>
      <x:c r="B18" s="107" t="str">
        <x:v>Student t, two-sided</x:v>
      </x:c>
    </x:row>
    <x:row r="19" ht="18.75" customHeight="1">
      <x:c r="A19" s="108" t="str">
        <x:v>Critical t (df = 9)</x:v>
      </x:c>
      <x:c r="B19" s="110" t="n">
        <x:v>2.262157162798205</x:v>
      </x:c>
    </x:row>
  </x:sheetData>
  <x:mergeCells>
    <x:mergeCell ref="A1:R1"/>
    <x:mergeCell ref="A2:R2"/>
    <x:mergeCell ref="A10:R10"/>
    <x:mergeCell ref="A11:R11"/>
    <x:mergeCell ref="A12:R12"/>
    <x:mergeCell ref="A13:R13"/>
    <x:mergeCell ref="A15:R15"/>
  </x:mergeCells>
  <x:conditionalFormatting sqref="D5:D7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{6C0FFCDA-0C0F-7273-CA17-AC6E52EAD0C9}</x14:id>
        </x:ext>
      </x:extLst>
    </x:cfRule>
  </x:conditionalFormatting>
  <x:conditionalFormatting sqref="G5:G7">
    <x:cfRule type="dataBar" priority="2">
      <x:dataBar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{5A4C7681-04A1-2B21-5CAB-D6392DCAB669}</x14:id>
        </x:ext>
      </x:extLst>
    </x:cfRule>
  </x:conditionalFormatting>
  <x:conditionalFormatting sqref="J5:J7">
    <x:cfRule type="dataBar" priority="3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{0B334D34-17EA-FF21-8C70-4F5CFCE74E56}</x14:id>
        </x:ext>
      </x:extLst>
    </x:cfRule>
  </x:conditionalFormatting>
  <x:conditionalFormatting sqref="R5:R7">
    <x:cfRule type="colorScale" priority="4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14bd2253c0a4c4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C0FFCDA-0C0F-7273-CA17-AC6E52EAD0C9}">
            <x14:dataBar gradient="1">
              <x14:cfvo type="min"/>
              <x14:cfvo type="max"/>
              <x14:fillColor rgb="FF5B9BD5"/>
            </x14:dataBar>
          </x14:cfRule>
          <xm:sqref>D5:D7</xm:sqref>
        </x14:conditionalFormatting>
        <x14:conditionalFormatting>
          <x14:cfRule type="dataBar" priority="2" id="{5A4C7681-04A1-2B21-5CAB-D6392DCAB669}">
            <x14:dataBar gradient="1">
              <x14:cfvo type="min"/>
              <x14:cfvo type="max"/>
              <x14:fillColor rgb="FFED7D31"/>
            </x14:dataBar>
          </x14:cfRule>
          <xm:sqref>G5:G7</xm:sqref>
        </x14:conditionalFormatting>
        <x14:conditionalFormatting>
          <x14:cfRule type="dataBar" priority="3" id="{0B334D34-17EA-FF21-8C70-4F5CFCE74E56}">
            <x14:dataBar gradient="1">
              <x14:cfvo type="min"/>
              <x14:cfvo type="max"/>
              <x14:fillColor rgb="FF70AD47"/>
            </x14:dataBar>
          </x14:cfRule>
          <xm:sqref>J5:J7</xm:sqref>
        </x14:conditionalFormatting>
      </x14:conditionalFormattings>
    </x:ext>
  </x:extLst>
</x:worksheet>
</file>